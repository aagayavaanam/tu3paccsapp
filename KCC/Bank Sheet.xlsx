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esktop\KCC\"/>
    </mc:Choice>
  </mc:AlternateContent>
  <xr:revisionPtr revIDLastSave="0" documentId="13_ncr:1_{A714CBE9-67F4-435E-9913-755A5A5E1044}" xr6:coauthVersionLast="47" xr6:coauthVersionMax="47" xr10:uidLastSave="{00000000-0000-0000-0000-000000000000}"/>
  <bookViews>
    <workbookView xWindow="-120" yWindow="-120" windowWidth="20730" windowHeight="11040" xr2:uid="{FBDD2398-4995-4EC4-82F4-4C7E794CC18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85" i="1" l="1"/>
  <c r="D83" i="1"/>
  <c r="T82" i="1"/>
  <c r="B82" i="1"/>
  <c r="O81" i="1"/>
  <c r="AA80" i="1"/>
  <c r="D70" i="1"/>
  <c r="R69" i="1"/>
  <c r="B69" i="1"/>
  <c r="Q68" i="1"/>
  <c r="B68" i="1"/>
  <c r="W17" i="1"/>
  <c r="K10" i="1"/>
</calcChain>
</file>

<file path=xl/sharedStrings.xml><?xml version="1.0" encoding="utf-8"?>
<sst xmlns="http://schemas.openxmlformats.org/spreadsheetml/2006/main" count="86" uniqueCount="67">
  <si>
    <r>
      <rPr>
        <b/>
        <sz val="14"/>
        <color theme="1"/>
        <rFont val="Times New Roman"/>
        <family val="1"/>
      </rPr>
      <t>TU</t>
    </r>
    <r>
      <rPr>
        <b/>
        <sz val="14"/>
        <color theme="1"/>
        <rFont val="Bamini"/>
        <family val="2"/>
      </rPr>
      <t xml:space="preserve"> 3 Njthuk; njhlf;f Ntshz;ik $l;LwT fld; rq;fk; Njthuk;</t>
    </r>
  </si>
  <si>
    <t>ngWeH</t>
  </si>
  <si>
    <t>caHjpU fpis NkyhsH mtHfs;</t>
  </si>
  <si>
    <t>kJiu khtl;l kj;jpa $l;LwT tq;fp ypl;</t>
  </si>
  <si>
    <t>Njthuk; fpis</t>
  </si>
  <si>
    <t>Iah</t>
  </si>
  <si>
    <t>nghUs;</t>
  </si>
  <si>
    <r>
      <rPr>
        <sz val="12"/>
        <color theme="1"/>
        <rFont val="Times New Roman"/>
        <family val="1"/>
      </rPr>
      <t>TU</t>
    </r>
    <r>
      <rPr>
        <sz val="12"/>
        <color theme="1"/>
        <rFont val="Bamini"/>
        <family val="2"/>
      </rPr>
      <t>3 Njthuk; njhlf;f Ntshz;ik $l;LwT fld;</t>
    </r>
    <r>
      <rPr>
        <sz val="12"/>
        <color theme="1"/>
        <rFont val="Times New Roman"/>
        <family val="1"/>
      </rPr>
      <t xml:space="preserve"> KCC1</t>
    </r>
  </si>
  <si>
    <t>fhRf;fldpy;</t>
  </si>
  <si>
    <t>gl;Lthlh NfhUjy; njhlHghf</t>
  </si>
  <si>
    <t xml:space="preserve">kj;jpa tq;fp </t>
  </si>
  <si>
    <t>RCL</t>
  </si>
  <si>
    <t>vz;</t>
  </si>
  <si>
    <t>107/25-26/P1  Dt:15.04.2026</t>
  </si>
  <si>
    <t>mDkjpf;fg;gl;l</t>
  </si>
  <si>
    <t>fhRf;fld;</t>
  </si>
  <si>
    <t>msT</t>
  </si>
  <si>
    <t>:</t>
  </si>
  <si>
    <t>&amp;</t>
  </si>
  <si>
    <t>mDkjpf;fg;glljpy;</t>
  </si>
  <si>
    <t>,Jehs;</t>
  </si>
  <si>
    <t>tiu</t>
  </si>
  <si>
    <t>ngwg;gl;Ls;sJ</t>
  </si>
  <si>
    <t xml:space="preserve">kj;jpa tq;fpay; </t>
  </si>
  <si>
    <t>ehsJ Njjpapy;</t>
  </si>
  <si>
    <t>fld;</t>
  </si>
  <si>
    <t>epYit</t>
  </si>
  <si>
    <t>jw;NghJ</t>
  </si>
  <si>
    <t>NfhUk;</t>
  </si>
  <si>
    <t>njhif</t>
  </si>
  <si>
    <t>nrd;w gl;Lthlhtpw;F</t>
  </si>
  <si>
    <t>gpd;</t>
  </si>
  <si>
    <t>t#y;</t>
  </si>
  <si>
    <t>,Urhy;</t>
  </si>
  <si>
    <t>rq;fj;jpy;</t>
  </si>
  <si>
    <t>cWg;gpdH</t>
  </si>
  <si>
    <t>mstpy; fld; epYit</t>
  </si>
  <si>
    <t>Njjpapy; ifapUg;G</t>
  </si>
  <si>
    <t>rhd;Wfs;</t>
  </si>
  <si>
    <r>
      <rPr>
        <sz val="12"/>
        <color theme="1"/>
        <rFont val="Bamini"/>
        <family val="2"/>
      </rPr>
      <t>1. gl;Lthlh NfhUk; cWg;gpdh;fSf;F NghJkhd gq;Fj;njhif gpbj;jk; nra;ag;gLk; vd;Wk;  fld; NfhUk; cWg;gpdh;fSf;F ehsJ Njjptiu toq;fg;gl;l gaph;fs; cWjpnra;J gaph; guhkhpg;G NgNul;by; (</t>
    </r>
    <r>
      <rPr>
        <sz val="12"/>
        <color theme="1"/>
        <rFont val="Times New Roman"/>
        <family val="1"/>
      </rPr>
      <t>Crop Verification Register</t>
    </r>
    <r>
      <rPr>
        <sz val="12"/>
        <color theme="1"/>
        <rFont val="Bamini"/>
        <family val="2"/>
      </rPr>
      <t xml:space="preserve"> ) gjpag;gl;Ls;sJ vd;Wk; ,f;fld; NfhUk; cWg;gpdh;fSf;F kJiu khtl;l kj;jpa $l;LwT tq;fp Rw;wwpf;ifapd;gb gaph;fhg;gPL kw;Wk; jdp egh; tpgj;Jf; fhg;gPL fl;lzk; nrYj;jg;gLk; vd;Wk; ,g;gl;Lthlh NfhhpAs;s.......cWg;gpdh;fspy;.....cWg;gpdh;fSf;F kl;Lk; Vw;fdNt 3 tUl jdp egh; tpgj;Jf; fhg;gPL nrYj;jg;gl;Ls;sJ vd;Wk; rhd;W nra;fpd;Nwd;.</t>
    </r>
  </si>
  <si>
    <t>2. fld; NfhUk; cWg;gpdh;fspd; rq;fj;jpw;F gjpe;J nfhLj;j epyq;fspd;rh;Nt epyg;gug;gpw;F jhd;M];jp nghWg;G rpl;lh mlq;fy; ngwg;gl;L jw;nghOJ tptrhak; nra;J tUk; gapUf;F fpuhk eph;thf mjpfhhpaplk; M];jp nghWg;G kw;Wk; mlq;fy; ngw;W rkh;gpj;Js;sdh; vd;Wk;, fld; gl;LthlhNfhUk; rh;Nt vz; kw;Wk; mjd; gug;gstpw;F rq;fj;jpy; Kd; fld; ghf;fpapy;iy vd;Wk;</t>
  </si>
  <si>
    <t>3. [hkPd; epw;gth;fs; [hkPd; epw;f jFjpahdth;fs; vd;Wk;&gt; cWg;gpdh;fs; gh];Nghh;l; Gifg;glk; gpuNtrg;Gj;jfj;jpy; xl;lg;gl;Ls;snjd;Wk; cWg;gpdh; ifnahg;gk; midj;Jk; gpuNtrGj;jfj;Jld;xg;gpl;L rhpahf cs;snjd;Wk;&gt;</t>
  </si>
  <si>
    <r>
      <t xml:space="preserve">4. fld; gl;Lthlhtpy; fld;NfhUk; cWg;gpdh;fSf;F fld; epYitapYk; NtWve;j fldpYk; mtUf;Fk; mtuJ $l;Lf;FLk;gj;jpYs;s NtWvtUf;Fk; jtiz jtwpa fld;ghf;fp VJkpy;iy vd;Wk; jw;nghOJ NfhUk; fld; gl;Lthlhtpw;F Ke;jpa fld; gl;Lthlh [hgpjh </t>
    </r>
    <r>
      <rPr>
        <sz val="12"/>
        <color rgb="FFFF0000"/>
        <rFont val="Bamini"/>
        <family val="2"/>
      </rPr>
      <t>&amp;.1271000</t>
    </r>
    <r>
      <rPr>
        <sz val="12"/>
        <color rgb="FFFF0000"/>
        <rFont val="Times New Roman"/>
        <family val="1"/>
      </rPr>
      <t>/-</t>
    </r>
    <r>
      <rPr>
        <sz val="12"/>
        <color theme="1"/>
        <rFont val="Bamini"/>
        <family val="2"/>
      </rPr>
      <t xml:space="preserve"> tpw;F cWg;gpdh;fsplk; ifnahg;gk; ngw;W fpisapy; rkh;gpf;fg;gl;Ls;sJ vd;Wk; </t>
    </r>
  </si>
  <si>
    <t>5. gaph;fldpy; fzf;fpy; t#yhFk; njhifia mNj fzf;fpy; kj;jpa tq;fpapy; ,Urhy; nra;J tUfpd;Nwhk;. Nghjpa Mjhuk; cs;snjd;Wk; Rw;wwpf;ifapy; mwpTWj;jpagb njhlf;f Ntshz;ik $l;LwT rq;fj;jpy; guhkhpf;f Ntz;ba gjpNtLfs; midj;Jk; gjpag;gl;L gjpT nra;J tUfpd;Nwhk;. gl;Lthlh [hgpjh kw;Wk; nte;epiy [hkPd; fld; gj;jpuk;&gt; njhlh;r;rp mlkhdk; gj;jpuk; ngwg;gl;L rq;fj;jpy; cs;snjd;Wk;&gt;</t>
  </si>
  <si>
    <r>
      <t xml:space="preserve">6. fld;gl;Lthlh NfhUk; cWg;gpdh;fSf;F kJiu khtl;l kj;jpa $l;LwT tq;fpapd; Rw;wwpf;ifapd;gb jdp egh; gaph;f;fld;  </t>
    </r>
    <r>
      <rPr>
        <sz val="12"/>
        <color theme="1"/>
        <rFont val="Times New Roman"/>
        <family val="1"/>
      </rPr>
      <t>K.C.C.I</t>
    </r>
    <r>
      <rPr>
        <sz val="12"/>
        <color theme="1"/>
        <rFont val="Bamini"/>
        <family val="2"/>
      </rPr>
      <t xml:space="preserve">  cr;rgl;rk; &amp;. </t>
    </r>
    <r>
      <rPr>
        <sz val="12"/>
        <color theme="1"/>
        <rFont val="Times New Roman"/>
        <family val="1"/>
      </rPr>
      <t>3,00,000/-</t>
    </r>
    <r>
      <rPr>
        <sz val="12"/>
        <color theme="1"/>
        <rFont val="Bamini"/>
        <family val="2"/>
      </rPr>
      <t xml:space="preserve">f;F Nky; gl;Lthlh nra;ag;gltpy;iy vd;Wk; </t>
    </r>
  </si>
  <si>
    <t>Nkw;fz;l rhd;Wfs; rq;f nrayhsH&gt; jiytH kw;Wk; epHthf];jHfshy; rupghHf;fg;gl;L</t>
  </si>
  <si>
    <t>rupahf cs;sJ vd;W rhd;W nra;fpd;Nwhk;. vdNt flld; gl;Lthlh NfhUk; njhif</t>
  </si>
  <si>
    <t xml:space="preserve">I rq;f elg;G fzf;fpy; </t>
  </si>
  <si>
    <r>
      <t xml:space="preserve">kw;Wk; rq;f </t>
    </r>
    <r>
      <rPr>
        <sz val="12"/>
        <color theme="1"/>
        <rFont val="Times New Roman"/>
        <family val="1"/>
      </rPr>
      <t>CC6</t>
    </r>
    <r>
      <rPr>
        <sz val="12"/>
        <color theme="1"/>
        <rFont val="Bamini"/>
        <family val="2"/>
      </rPr>
      <t xml:space="preserve"> fzf;fpy;</t>
    </r>
  </si>
  <si>
    <t>%d;W tUl jdpegH tpgj;Jf;fhg;gPL</t>
  </si>
  <si>
    <t>rq;f cWg;gpdH Nrkpg;G</t>
  </si>
  <si>
    <t>fzf;fpy;</t>
  </si>
  <si>
    <t>&lt;L nra;tjd; %yk; gl;Lthlh toq;FkhW md;Gld; Nfl;Lf;</t>
  </si>
  <si>
    <t>nfhs;fpNwhk;.</t>
  </si>
  <si>
    <t>nrayhsH</t>
  </si>
  <si>
    <r>
      <t>$l;LwT rhh; gjpthsh;</t>
    </r>
    <r>
      <rPr>
        <b/>
        <sz val="12"/>
        <color theme="1"/>
        <rFont val="Times New Roman"/>
        <family val="1"/>
      </rPr>
      <t>/</t>
    </r>
    <r>
      <rPr>
        <b/>
        <sz val="12"/>
        <color theme="1"/>
        <rFont val="Bamini"/>
        <family val="2"/>
      </rPr>
      <t xml:space="preserve"> nrayhl;rpah;</t>
    </r>
  </si>
  <si>
    <t xml:space="preserve">vdNt Nkw;gb rq;f nrayhsH&gt; jiytH mtHfspd; fld; Nfhupf;ifia Vw;W </t>
  </si>
  <si>
    <t>gupe;Jiu nra;fpNwd;. rq;f elg;G fzf;fpy;</t>
  </si>
  <si>
    <r>
      <t xml:space="preserve">kw;Wk; rq;f </t>
    </r>
    <r>
      <rPr>
        <sz val="12"/>
        <color theme="1"/>
        <rFont val="Times New Roman"/>
        <family val="1"/>
      </rPr>
      <t xml:space="preserve">CC6 </t>
    </r>
    <r>
      <rPr>
        <sz val="12"/>
        <color theme="1"/>
        <rFont val="Bamini"/>
        <family val="2"/>
      </rPr>
      <t xml:space="preserve">fzf;fpy; </t>
    </r>
  </si>
  <si>
    <t xml:space="preserve">k; </t>
  </si>
  <si>
    <t xml:space="preserve">%d;W tUl jdpegH tpgj;Jf; fhg;gPL </t>
  </si>
  <si>
    <t xml:space="preserve">k; rq;f cWg;gpdH Nrkpg;G </t>
  </si>
  <si>
    <t>&lt;L nra;tjd; %yk; gl;Lthlh toq;FkhWk;&gt; Nkw;gb fld; NfhUk;</t>
  </si>
  <si>
    <t xml:space="preserve">cWg;gpdHfspd; rpl;lh mlq;fy; kw;Wk; mtzq;fis rupghHj;J rq;f cWg;gpdHfSf;F </t>
  </si>
  <si>
    <r>
      <rPr>
        <sz val="12"/>
        <color theme="1"/>
        <rFont val="Times New Roman"/>
        <family val="1"/>
      </rPr>
      <t>KCC</t>
    </r>
    <r>
      <rPr>
        <sz val="12"/>
        <color theme="1"/>
        <rFont val="Bamini"/>
        <family val="2"/>
      </rPr>
      <t xml:space="preserve"> fhRf;fld; fzf;fpy; </t>
    </r>
  </si>
  <si>
    <t>kl;Lk; gl;Lthlh toq;FkhW rpghupR nra;fpNwd;.</t>
  </si>
  <si>
    <t>ruf Nkw;ghHitahsH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</si>
</sst>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&quot;₹&quot;\ * #,##0_ ;_ &quot;₹&quot;\ * \-#,##0_ ;_ &quot;₹&quot;\ * &quot;-&quot;??_ ;_ @_ "/>
    <numFmt numFmtId="165" formatCode="_ * #,##0_ ;_ * \-#,##0_ ;_ * &quot;-&quot;??_ ;_ @_ "/>
    <numFmt numFmtId="166" formatCode="&quot;₹&quot;\ #,##0"/>
    <numFmt numFmtId="167" formatCode="&quot;₹&quot;\ #,##0.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Bamini"/>
      <family val="2"/>
    </font>
    <font>
      <b/>
      <sz val="14"/>
      <color theme="1"/>
      <name val="Bamini"/>
      <family val="1"/>
    </font>
    <font>
      <b/>
      <sz val="14"/>
      <color theme="1"/>
      <name val="Times New Roman"/>
      <family val="1"/>
    </font>
    <font>
      <b/>
      <sz val="14"/>
      <color theme="1"/>
      <name val="Bamini"/>
      <family val="2"/>
    </font>
    <font>
      <b/>
      <sz val="12"/>
      <color theme="1"/>
      <name val="Bamini"/>
      <family val="1"/>
    </font>
    <font>
      <b/>
      <sz val="12"/>
      <color theme="1"/>
      <name val="Bamini"/>
      <family val="2"/>
    </font>
    <font>
      <sz val="12"/>
      <color theme="1"/>
      <name val="Bamini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rgb="FFFF0000"/>
      <name val="Bamini"/>
      <family val="2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164" fontId="10" fillId="0" borderId="0" xfId="1" applyNumberFormat="1" applyFont="1" applyAlignment="1">
      <alignment horizontal="center" vertical="center"/>
    </xf>
    <xf numFmtId="165" fontId="10" fillId="0" borderId="0" xfId="1" applyNumberFormat="1" applyFont="1" applyAlignment="1">
      <alignment vertical="center"/>
    </xf>
    <xf numFmtId="0" fontId="10" fillId="0" borderId="0" xfId="0" applyFont="1"/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6" fontId="10" fillId="0" borderId="2" xfId="0" applyNumberFormat="1" applyFont="1" applyBorder="1" applyAlignment="1">
      <alignment horizontal="left" vertical="center"/>
    </xf>
    <xf numFmtId="166" fontId="10" fillId="0" borderId="3" xfId="0" applyNumberFormat="1" applyFont="1" applyBorder="1" applyAlignment="1">
      <alignment horizontal="left" vertical="center"/>
    </xf>
    <xf numFmtId="3" fontId="10" fillId="0" borderId="2" xfId="0" applyNumberFormat="1" applyFont="1" applyBorder="1" applyAlignment="1">
      <alignment horizontal="left" vertical="center"/>
    </xf>
    <xf numFmtId="3" fontId="10" fillId="0" borderId="3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/>
    <xf numFmtId="166" fontId="11" fillId="0" borderId="0" xfId="0" applyNumberFormat="1" applyFont="1" applyAlignment="1">
      <alignment horizontal="left" vertical="center"/>
    </xf>
    <xf numFmtId="166" fontId="11" fillId="0" borderId="6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top" wrapText="1"/>
    </xf>
    <xf numFmtId="167" fontId="10" fillId="0" borderId="1" xfId="1" applyNumberFormat="1" applyFont="1" applyBorder="1" applyAlignment="1">
      <alignment horizontal="center"/>
    </xf>
    <xf numFmtId="167" fontId="10" fillId="0" borderId="2" xfId="1" applyNumberFormat="1" applyFont="1" applyBorder="1" applyAlignment="1">
      <alignment horizontal="center"/>
    </xf>
    <xf numFmtId="167" fontId="10" fillId="0" borderId="3" xfId="1" applyNumberFormat="1" applyFont="1" applyBorder="1" applyAlignment="1">
      <alignment horizontal="center"/>
    </xf>
    <xf numFmtId="167" fontId="10" fillId="0" borderId="0" xfId="1" applyNumberFormat="1" applyFont="1" applyBorder="1" applyAlignment="1"/>
    <xf numFmtId="167" fontId="10" fillId="0" borderId="7" xfId="1" applyNumberFormat="1" applyFont="1" applyBorder="1" applyAlignment="1">
      <alignment horizontal="center"/>
    </xf>
    <xf numFmtId="167" fontId="10" fillId="0" borderId="8" xfId="1" applyNumberFormat="1" applyFont="1" applyBorder="1" applyAlignment="1">
      <alignment horizontal="center"/>
    </xf>
    <xf numFmtId="167" fontId="10" fillId="0" borderId="0" xfId="1" applyNumberFormat="1" applyFont="1" applyBorder="1" applyAlignment="1">
      <alignment horizontal="center"/>
    </xf>
    <xf numFmtId="167" fontId="10" fillId="0" borderId="1" xfId="0" applyNumberFormat="1" applyFont="1" applyBorder="1" applyAlignment="1">
      <alignment horizontal="center"/>
    </xf>
    <xf numFmtId="167" fontId="10" fillId="0" borderId="2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0" fillId="0" borderId="3" xfId="0" applyNumberFormat="1" applyFont="1" applyBorder="1" applyAlignment="1">
      <alignment horizontal="center"/>
    </xf>
    <xf numFmtId="0" fontId="9" fillId="0" borderId="0" xfId="0" applyFont="1"/>
    <xf numFmtId="167" fontId="10" fillId="0" borderId="0" xfId="0" applyNumberFormat="1" applyFont="1" applyAlignment="1">
      <alignment horizontal="center"/>
    </xf>
    <xf numFmtId="167" fontId="10" fillId="0" borderId="0" xfId="0" applyNumberFormat="1" applyFont="1"/>
    <xf numFmtId="167" fontId="10" fillId="0" borderId="7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ad%202.xlsx" TargetMode="External"/><Relationship Id="rId2" Type="http://schemas.openxmlformats.org/officeDocument/2006/relationships/externalLinkPath" Target="file:///C:\Users\ELCOT\Desktop\Pad%202.xlsx" TargetMode="External"/><Relationship Id="rId1" Type="http://schemas.openxmlformats.org/officeDocument/2006/relationships/externalLinkPath" Target="/Users/ELCOT/Desktop/Pad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CC1"/>
      <sheetName val="KCC2"/>
      <sheetName val="Corp"/>
      <sheetName val="INS"/>
      <sheetName val="Front"/>
      <sheetName val="Note order"/>
      <sheetName val="Jabitha"/>
      <sheetName val="Sign"/>
    </sheetNames>
    <sheetDataSet>
      <sheetData sheetId="0">
        <row r="8">
          <cell r="S8">
            <v>263000</v>
          </cell>
        </row>
      </sheetData>
      <sheetData sheetId="1">
        <row r="8">
          <cell r="K8">
            <v>18218</v>
          </cell>
          <cell r="O8">
            <v>263000</v>
          </cell>
          <cell r="Q8">
            <v>900</v>
          </cell>
          <cell r="R8">
            <v>0</v>
          </cell>
          <cell r="S8">
            <v>500</v>
          </cell>
          <cell r="U8">
            <v>243382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DFD80-0A92-46F0-9348-1AD40A195CC8}">
  <dimension ref="B2:AD91"/>
  <sheetViews>
    <sheetView tabSelected="1" workbookViewId="0">
      <selection activeCell="AN9" sqref="AN9"/>
    </sheetView>
  </sheetViews>
  <sheetFormatPr defaultColWidth="2.7109375" defaultRowHeight="15.75" x14ac:dyDescent="0.25"/>
  <cols>
    <col min="1" max="1" width="2.7109375" style="1"/>
    <col min="2" max="2" width="3.7109375" style="1" customWidth="1"/>
    <col min="3" max="3" width="6.7109375" style="1" bestFit="1" customWidth="1"/>
    <col min="4" max="11" width="2.7109375" style="1"/>
    <col min="12" max="12" width="8" style="1" bestFit="1" customWidth="1"/>
    <col min="13" max="13" width="2.7109375" style="1"/>
    <col min="14" max="14" width="3.7109375" style="1" customWidth="1"/>
    <col min="15" max="16" width="2.7109375" style="1"/>
    <col min="17" max="17" width="5.5703125" style="1" bestFit="1" customWidth="1"/>
    <col min="18" max="26" width="2.7109375" style="1"/>
    <col min="27" max="27" width="14.85546875" style="1" bestFit="1" customWidth="1"/>
    <col min="28" max="16384" width="2.7109375" style="1"/>
  </cols>
  <sheetData>
    <row r="2" spans="2:30" ht="18.75" x14ac:dyDescent="0.25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4"/>
      <c r="AB2" s="5"/>
      <c r="AC2" s="5"/>
      <c r="AD2" s="5"/>
    </row>
    <row r="3" spans="2:30" x14ac:dyDescent="0.25"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2:30" x14ac:dyDescent="0.25">
      <c r="B4" s="6" t="s">
        <v>1</v>
      </c>
    </row>
    <row r="5" spans="2:30" x14ac:dyDescent="0.25">
      <c r="E5" s="1" t="s">
        <v>2</v>
      </c>
    </row>
    <row r="6" spans="2:30" x14ac:dyDescent="0.25">
      <c r="E6" s="1" t="s">
        <v>3</v>
      </c>
    </row>
    <row r="7" spans="2:30" x14ac:dyDescent="0.25">
      <c r="E7" s="1" t="s">
        <v>4</v>
      </c>
    </row>
    <row r="8" spans="2:30" x14ac:dyDescent="0.25">
      <c r="B8" s="6" t="s">
        <v>5</v>
      </c>
    </row>
    <row r="9" spans="2:30" x14ac:dyDescent="0.25">
      <c r="B9" s="6" t="s">
        <v>6</v>
      </c>
      <c r="F9" s="7" t="s">
        <v>7</v>
      </c>
    </row>
    <row r="10" spans="2:30" x14ac:dyDescent="0.25">
      <c r="F10" s="1" t="s">
        <v>8</v>
      </c>
      <c r="K10" s="8">
        <f>[1]KCC1!S8</f>
        <v>263000</v>
      </c>
      <c r="L10" s="8"/>
      <c r="M10" s="8"/>
      <c r="N10" s="9"/>
      <c r="O10" s="1" t="s">
        <v>9</v>
      </c>
    </row>
    <row r="12" spans="2:30" x14ac:dyDescent="0.25">
      <c r="B12" s="6" t="s">
        <v>10</v>
      </c>
      <c r="H12" s="10" t="s">
        <v>11</v>
      </c>
      <c r="J12" s="6" t="s">
        <v>12</v>
      </c>
      <c r="L12" s="10" t="s">
        <v>13</v>
      </c>
      <c r="R12" s="6"/>
      <c r="T12" s="6"/>
    </row>
    <row r="14" spans="2:30" x14ac:dyDescent="0.25">
      <c r="B14" s="11">
        <v>1</v>
      </c>
      <c r="C14" s="12" t="s">
        <v>14</v>
      </c>
      <c r="D14" s="12"/>
      <c r="E14" s="12"/>
      <c r="F14" s="12"/>
      <c r="G14" s="12"/>
      <c r="H14" s="12" t="s">
        <v>15</v>
      </c>
      <c r="I14" s="12"/>
      <c r="J14" s="12"/>
      <c r="K14" s="12"/>
      <c r="L14" s="12" t="s">
        <v>16</v>
      </c>
      <c r="M14" s="12"/>
      <c r="N14" s="12"/>
      <c r="O14" s="12"/>
      <c r="P14" s="12"/>
      <c r="Q14" s="12"/>
      <c r="R14" s="12"/>
      <c r="S14" s="12"/>
      <c r="T14" s="13"/>
      <c r="U14" s="12" t="s">
        <v>17</v>
      </c>
      <c r="V14" s="12" t="s">
        <v>18</v>
      </c>
      <c r="W14" s="14">
        <v>30000000</v>
      </c>
      <c r="X14" s="14"/>
      <c r="Y14" s="14"/>
      <c r="Z14" s="14"/>
      <c r="AA14" s="14"/>
      <c r="AB14" s="15"/>
    </row>
    <row r="15" spans="2:30" x14ac:dyDescent="0.25">
      <c r="B15" s="11">
        <v>2</v>
      </c>
      <c r="C15" s="12" t="s">
        <v>19</v>
      </c>
      <c r="D15" s="12"/>
      <c r="E15" s="12"/>
      <c r="F15" s="12"/>
      <c r="G15" s="12"/>
      <c r="H15" s="12"/>
      <c r="I15" s="12"/>
      <c r="J15" s="12" t="s">
        <v>20</v>
      </c>
      <c r="K15" s="12"/>
      <c r="L15" s="12"/>
      <c r="M15" s="12" t="s">
        <v>21</v>
      </c>
      <c r="N15" s="12"/>
      <c r="O15" s="12" t="s">
        <v>22</v>
      </c>
      <c r="P15" s="12"/>
      <c r="Q15" s="12"/>
      <c r="R15" s="12"/>
      <c r="S15" s="12"/>
      <c r="T15" s="13"/>
      <c r="U15" s="12" t="s">
        <v>17</v>
      </c>
      <c r="V15" s="12" t="s">
        <v>18</v>
      </c>
      <c r="W15" s="14">
        <v>1271000</v>
      </c>
      <c r="X15" s="14"/>
      <c r="Y15" s="14"/>
      <c r="Z15" s="14"/>
      <c r="AA15" s="14"/>
      <c r="AB15" s="15"/>
    </row>
    <row r="16" spans="2:30" x14ac:dyDescent="0.25">
      <c r="B16" s="11">
        <v>3</v>
      </c>
      <c r="C16" s="12" t="s">
        <v>23</v>
      </c>
      <c r="D16" s="12"/>
      <c r="E16" s="12"/>
      <c r="F16" s="12"/>
      <c r="G16" s="12"/>
      <c r="H16" s="12"/>
      <c r="I16" s="12" t="s">
        <v>24</v>
      </c>
      <c r="J16" s="12"/>
      <c r="K16" s="12"/>
      <c r="L16" s="12"/>
      <c r="M16" s="12" t="s">
        <v>25</v>
      </c>
      <c r="N16" s="12"/>
      <c r="O16" s="12" t="s">
        <v>26</v>
      </c>
      <c r="P16" s="12"/>
      <c r="Q16" s="12"/>
      <c r="R16" s="12"/>
      <c r="S16" s="12"/>
      <c r="T16" s="13"/>
      <c r="U16" s="12" t="s">
        <v>17</v>
      </c>
      <c r="V16" s="12" t="s">
        <v>18</v>
      </c>
      <c r="W16" s="16">
        <v>29047115</v>
      </c>
      <c r="X16" s="16">
        <v>29047115</v>
      </c>
      <c r="Y16" s="16">
        <v>29047115</v>
      </c>
      <c r="Z16" s="16">
        <v>29047115</v>
      </c>
      <c r="AA16" s="16">
        <v>29047115</v>
      </c>
      <c r="AB16" s="17">
        <v>29047115</v>
      </c>
    </row>
    <row r="17" spans="2:30" x14ac:dyDescent="0.25">
      <c r="B17" s="18">
        <v>4</v>
      </c>
      <c r="C17" s="1" t="s">
        <v>27</v>
      </c>
      <c r="F17" s="1" t="s">
        <v>28</v>
      </c>
      <c r="I17" s="1" t="s">
        <v>29</v>
      </c>
      <c r="T17" s="19"/>
      <c r="U17" s="1" t="s">
        <v>17</v>
      </c>
      <c r="V17" s="1" t="s">
        <v>18</v>
      </c>
      <c r="W17" s="20">
        <f>[1]KCC1!S8</f>
        <v>263000</v>
      </c>
      <c r="X17" s="20"/>
      <c r="Y17" s="20"/>
      <c r="Z17" s="20"/>
      <c r="AA17" s="20"/>
      <c r="AB17" s="21"/>
    </row>
    <row r="18" spans="2:30" x14ac:dyDescent="0.25">
      <c r="B18" s="11">
        <v>5</v>
      </c>
      <c r="C18" s="12" t="s">
        <v>30</v>
      </c>
      <c r="D18" s="12"/>
      <c r="E18" s="12"/>
      <c r="F18" s="12"/>
      <c r="G18" s="12"/>
      <c r="H18" s="12"/>
      <c r="I18" s="12"/>
      <c r="J18" s="12" t="s">
        <v>31</v>
      </c>
      <c r="K18" s="12"/>
      <c r="L18" s="12" t="s">
        <v>32</v>
      </c>
      <c r="M18" s="12" t="s">
        <v>29</v>
      </c>
      <c r="N18" s="12"/>
      <c r="O18" s="12"/>
      <c r="P18" s="12"/>
      <c r="Q18" s="12"/>
      <c r="R18" s="12"/>
      <c r="S18" s="12"/>
      <c r="T18" s="13"/>
      <c r="U18" s="12" t="s">
        <v>17</v>
      </c>
      <c r="V18" s="12" t="s">
        <v>18</v>
      </c>
      <c r="W18" s="14">
        <v>373000</v>
      </c>
      <c r="X18" s="14"/>
      <c r="Y18" s="14"/>
      <c r="Z18" s="14"/>
      <c r="AA18" s="14"/>
      <c r="AB18" s="15"/>
    </row>
    <row r="19" spans="2:30" x14ac:dyDescent="0.25">
      <c r="B19" s="11">
        <v>6</v>
      </c>
      <c r="C19" s="12" t="s">
        <v>30</v>
      </c>
      <c r="D19" s="12"/>
      <c r="E19" s="12"/>
      <c r="F19" s="12"/>
      <c r="G19" s="12"/>
      <c r="H19" s="12"/>
      <c r="I19" s="12"/>
      <c r="J19" s="12" t="s">
        <v>31</v>
      </c>
      <c r="L19" s="12" t="s">
        <v>33</v>
      </c>
      <c r="N19" s="12"/>
      <c r="O19" s="12"/>
      <c r="P19" s="12"/>
      <c r="Q19" s="12"/>
      <c r="R19" s="12"/>
      <c r="S19" s="12"/>
      <c r="T19" s="13"/>
      <c r="U19" s="12" t="s">
        <v>17</v>
      </c>
      <c r="V19" s="12" t="s">
        <v>18</v>
      </c>
      <c r="W19" s="14">
        <v>350000</v>
      </c>
      <c r="X19" s="14"/>
      <c r="Y19" s="14"/>
      <c r="Z19" s="14"/>
      <c r="AA19" s="14"/>
      <c r="AB19" s="15"/>
    </row>
    <row r="20" spans="2:30" x14ac:dyDescent="0.25">
      <c r="B20" s="11">
        <v>7</v>
      </c>
      <c r="C20" s="12" t="s">
        <v>34</v>
      </c>
      <c r="D20" s="12"/>
      <c r="E20" s="12"/>
      <c r="F20" s="12" t="s">
        <v>35</v>
      </c>
      <c r="G20" s="12"/>
      <c r="H20" s="12"/>
      <c r="I20" s="12"/>
      <c r="J20" s="12" t="s">
        <v>36</v>
      </c>
      <c r="K20" s="12"/>
      <c r="L20" s="12"/>
      <c r="M20" s="12"/>
      <c r="N20" s="12"/>
      <c r="O20" s="12"/>
      <c r="P20" s="12"/>
      <c r="Q20" s="12"/>
      <c r="R20" s="12"/>
      <c r="S20" s="12"/>
      <c r="T20" s="13"/>
      <c r="U20" s="12" t="s">
        <v>17</v>
      </c>
      <c r="V20" s="12" t="s">
        <v>18</v>
      </c>
      <c r="W20" s="16">
        <v>29049450</v>
      </c>
      <c r="X20" s="16">
        <v>29049450</v>
      </c>
      <c r="Y20" s="16">
        <v>29049450</v>
      </c>
      <c r="Z20" s="16">
        <v>29049450</v>
      </c>
      <c r="AA20" s="16">
        <v>29049450</v>
      </c>
      <c r="AB20" s="17">
        <v>29049450</v>
      </c>
    </row>
    <row r="21" spans="2:30" x14ac:dyDescent="0.25">
      <c r="B21" s="11">
        <v>8</v>
      </c>
      <c r="C21" s="12" t="s">
        <v>34</v>
      </c>
      <c r="D21" s="12"/>
      <c r="E21" s="12"/>
      <c r="F21" s="12"/>
      <c r="G21" s="12"/>
      <c r="H21" s="12"/>
      <c r="I21" s="12"/>
      <c r="J21" s="12" t="s">
        <v>37</v>
      </c>
      <c r="K21" s="12"/>
      <c r="L21" s="12"/>
      <c r="M21" s="12"/>
      <c r="N21" s="12"/>
      <c r="O21" s="12"/>
      <c r="P21" s="12"/>
      <c r="Q21" s="12"/>
      <c r="R21" s="12"/>
      <c r="S21" s="12"/>
      <c r="T21" s="13"/>
      <c r="U21" s="12" t="s">
        <v>17</v>
      </c>
      <c r="V21" s="12" t="s">
        <v>18</v>
      </c>
      <c r="W21" s="22"/>
      <c r="X21" s="22"/>
      <c r="Y21" s="22"/>
      <c r="Z21" s="22"/>
      <c r="AA21" s="22"/>
      <c r="AB21" s="23"/>
    </row>
    <row r="23" spans="2:30" x14ac:dyDescent="0.25">
      <c r="P23" s="6" t="s">
        <v>38</v>
      </c>
    </row>
    <row r="24" spans="2:30" ht="15.75" customHeight="1" x14ac:dyDescent="0.25">
      <c r="B24" s="24" t="s">
        <v>39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</row>
    <row r="25" spans="2:30" x14ac:dyDescent="0.25"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</row>
    <row r="26" spans="2:30" x14ac:dyDescent="0.25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</row>
    <row r="27" spans="2:30" x14ac:dyDescent="0.25"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</row>
    <row r="28" spans="2:30" x14ac:dyDescent="0.25"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</row>
    <row r="29" spans="2:30" x14ac:dyDescent="0.25"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</row>
    <row r="30" spans="2:30" x14ac:dyDescent="0.25"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 spans="2:30" x14ac:dyDescent="0.25"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 spans="2:30" x14ac:dyDescent="0.25"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</row>
    <row r="33" spans="2:30" ht="15.75" customHeight="1" x14ac:dyDescent="0.25">
      <c r="B33" s="26" t="s">
        <v>40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spans="2:30" x14ac:dyDescent="0.25"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spans="2:30" x14ac:dyDescent="0.25"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spans="2:30" x14ac:dyDescent="0.25"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spans="2:30" x14ac:dyDescent="0.25"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spans="2:30" x14ac:dyDescent="0.25"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spans="2:30" x14ac:dyDescent="0.25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</row>
    <row r="40" spans="2:30" ht="15.75" customHeight="1" x14ac:dyDescent="0.25">
      <c r="B40" s="26" t="s">
        <v>41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spans="2:30" x14ac:dyDescent="0.25"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spans="2:30" x14ac:dyDescent="0.25"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spans="2:30" x14ac:dyDescent="0.25"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 spans="2:30" x14ac:dyDescent="0.25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</row>
    <row r="45" spans="2:30" ht="15.75" customHeight="1" x14ac:dyDescent="0.25">
      <c r="B45" s="26" t="s">
        <v>42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spans="2:30" x14ac:dyDescent="0.25"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spans="2:30" x14ac:dyDescent="0.25"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spans="2:30" x14ac:dyDescent="0.25"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spans="2:30" x14ac:dyDescent="0.25"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 spans="2:30" x14ac:dyDescent="0.25"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</row>
    <row r="51" spans="2:30" ht="15.75" customHeight="1" x14ac:dyDescent="0.25">
      <c r="B51" s="26" t="s">
        <v>43</v>
      </c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spans="2:30" x14ac:dyDescent="0.25"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 spans="2:30" x14ac:dyDescent="0.25"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 spans="2:30" x14ac:dyDescent="0.25"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spans="2:30" x14ac:dyDescent="0.25"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spans="2:30" x14ac:dyDescent="0.25"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</row>
    <row r="57" spans="2:30" x14ac:dyDescent="0.25"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</row>
    <row r="58" spans="2:30" x14ac:dyDescent="0.25"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</row>
    <row r="59" spans="2:30" x14ac:dyDescent="0.25"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</row>
    <row r="60" spans="2:30" ht="15.75" customHeight="1" x14ac:dyDescent="0.25">
      <c r="B60" s="26" t="s">
        <v>44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spans="2:30" x14ac:dyDescent="0.25"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spans="2:30" x14ac:dyDescent="0.25"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spans="2:30" x14ac:dyDescent="0.25"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spans="2:30" x14ac:dyDescent="0.25"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6" spans="2:30" x14ac:dyDescent="0.25">
      <c r="B66" s="1" t="s">
        <v>45</v>
      </c>
    </row>
    <row r="67" spans="2:30" x14ac:dyDescent="0.25">
      <c r="B67" s="1" t="s">
        <v>46</v>
      </c>
    </row>
    <row r="68" spans="2:30" x14ac:dyDescent="0.25">
      <c r="B68" s="30">
        <f>[1]KCC2!O8</f>
        <v>263000</v>
      </c>
      <c r="C68" s="31"/>
      <c r="D68" s="31"/>
      <c r="E68" s="31"/>
      <c r="F68" s="32"/>
      <c r="G68" s="1" t="s">
        <v>47</v>
      </c>
      <c r="P68" s="33"/>
      <c r="Q68" s="30">
        <f>[1]KCC2!Q8+[1]KCC2!S8</f>
        <v>1400</v>
      </c>
      <c r="R68" s="34"/>
      <c r="S68" s="34"/>
      <c r="T68" s="35"/>
      <c r="U68" s="36"/>
      <c r="V68" s="1" t="s">
        <v>48</v>
      </c>
      <c r="AD68" s="10"/>
    </row>
    <row r="69" spans="2:30" x14ac:dyDescent="0.25">
      <c r="B69" s="37">
        <f>[1]KCC2!K8</f>
        <v>18218</v>
      </c>
      <c r="C69" s="38"/>
      <c r="D69" s="39"/>
      <c r="E69" s="1" t="s">
        <v>49</v>
      </c>
      <c r="P69" s="10"/>
      <c r="R69" s="37">
        <f>[1]KCC2!R8</f>
        <v>0</v>
      </c>
      <c r="S69" s="38"/>
      <c r="T69" s="38"/>
      <c r="U69" s="40"/>
      <c r="V69" s="1" t="s">
        <v>50</v>
      </c>
    </row>
    <row r="70" spans="2:30" x14ac:dyDescent="0.25">
      <c r="B70" s="1" t="s">
        <v>51</v>
      </c>
      <c r="C70" s="41"/>
      <c r="D70" s="37">
        <f>[1]KCC2!U8</f>
        <v>243382</v>
      </c>
      <c r="E70" s="38"/>
      <c r="F70" s="38"/>
      <c r="G70" s="38"/>
      <c r="H70" s="38"/>
      <c r="I70" s="38"/>
      <c r="J70" s="40"/>
      <c r="K70" s="1" t="s">
        <v>52</v>
      </c>
    </row>
    <row r="71" spans="2:30" x14ac:dyDescent="0.25">
      <c r="B71" s="1" t="s">
        <v>53</v>
      </c>
    </row>
    <row r="76" spans="2:30" x14ac:dyDescent="0.25">
      <c r="D76" s="6" t="s">
        <v>54</v>
      </c>
      <c r="R76" s="6" t="s">
        <v>55</v>
      </c>
    </row>
    <row r="80" spans="2:30" x14ac:dyDescent="0.25">
      <c r="B80" s="1" t="s">
        <v>56</v>
      </c>
      <c r="AA80" s="37">
        <f>[1]KCC2!O8</f>
        <v>263000</v>
      </c>
      <c r="AB80" s="40"/>
      <c r="AC80" s="42"/>
      <c r="AD80" s="42"/>
    </row>
    <row r="81" spans="2:24" x14ac:dyDescent="0.25">
      <c r="B81" s="1" t="s">
        <v>57</v>
      </c>
      <c r="O81" s="37">
        <f>[1]KCC2!Q8+[1]KCC2!S8</f>
        <v>1400</v>
      </c>
      <c r="P81" s="38"/>
      <c r="Q81" s="38"/>
      <c r="R81" s="40"/>
      <c r="S81" s="43"/>
      <c r="T81" s="43"/>
      <c r="V81" s="1" t="s">
        <v>58</v>
      </c>
    </row>
    <row r="82" spans="2:24" x14ac:dyDescent="0.25">
      <c r="B82" s="37">
        <f>[1]KCC2!K8</f>
        <v>18218</v>
      </c>
      <c r="C82" s="38"/>
      <c r="D82" s="44"/>
      <c r="E82" s="39"/>
      <c r="F82" s="1" t="s">
        <v>59</v>
      </c>
      <c r="G82" s="1" t="s">
        <v>60</v>
      </c>
      <c r="T82" s="37">
        <f>[1]KCC2!R8</f>
        <v>0</v>
      </c>
      <c r="U82" s="38"/>
      <c r="V82" s="38"/>
      <c r="W82" s="40"/>
      <c r="X82" s="1" t="s">
        <v>61</v>
      </c>
    </row>
    <row r="83" spans="2:24" x14ac:dyDescent="0.25">
      <c r="B83" s="1" t="s">
        <v>51</v>
      </c>
      <c r="D83" s="37">
        <f>[1]KCC2!U8</f>
        <v>243382</v>
      </c>
      <c r="E83" s="38"/>
      <c r="F83" s="38"/>
      <c r="G83" s="38"/>
      <c r="H83" s="38"/>
      <c r="I83" s="40"/>
      <c r="J83" s="1" t="s">
        <v>62</v>
      </c>
    </row>
    <row r="84" spans="2:24" x14ac:dyDescent="0.25">
      <c r="B84" s="1" t="s">
        <v>63</v>
      </c>
    </row>
    <row r="85" spans="2:24" x14ac:dyDescent="0.25">
      <c r="B85" s="7" t="s">
        <v>64</v>
      </c>
      <c r="J85" s="37">
        <f>[1]KCC2!O8</f>
        <v>263000</v>
      </c>
      <c r="K85" s="38"/>
      <c r="L85" s="38"/>
      <c r="M85" s="38"/>
      <c r="N85" s="40"/>
      <c r="O85" s="1" t="s">
        <v>65</v>
      </c>
    </row>
    <row r="91" spans="2:24" x14ac:dyDescent="0.25">
      <c r="R91" s="6" t="s">
        <v>66</v>
      </c>
    </row>
  </sheetData>
  <mergeCells count="27">
    <mergeCell ref="D83:I83"/>
    <mergeCell ref="J85:N85"/>
    <mergeCell ref="B69:D69"/>
    <mergeCell ref="R69:U69"/>
    <mergeCell ref="D70:J70"/>
    <mergeCell ref="AA80:AB80"/>
    <mergeCell ref="O81:R81"/>
    <mergeCell ref="B82:E82"/>
    <mergeCell ref="T82:W82"/>
    <mergeCell ref="B40:AD43"/>
    <mergeCell ref="B45:AD49"/>
    <mergeCell ref="B51:AD55"/>
    <mergeCell ref="B60:AD64"/>
    <mergeCell ref="B68:F68"/>
    <mergeCell ref="Q68:T68"/>
    <mergeCell ref="W18:AB18"/>
    <mergeCell ref="W19:AB19"/>
    <mergeCell ref="W20:AB20"/>
    <mergeCell ref="W21:AB21"/>
    <mergeCell ref="B24:AD31"/>
    <mergeCell ref="B33:AD38"/>
    <mergeCell ref="B2:AA2"/>
    <mergeCell ref="K10:M10"/>
    <mergeCell ref="W14:AB14"/>
    <mergeCell ref="W15:AB15"/>
    <mergeCell ref="W16:AB16"/>
    <mergeCell ref="W17:A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a49860</dc:creator>
  <cp:lastModifiedBy>a49860</cp:lastModifiedBy>
  <dcterms:created xsi:type="dcterms:W3CDTF">2026-07-17T12:21:42Z</dcterms:created>
  <dcterms:modified xsi:type="dcterms:W3CDTF">2026-07-17T12:23:37Z</dcterms:modified>
</cp:coreProperties>
</file>