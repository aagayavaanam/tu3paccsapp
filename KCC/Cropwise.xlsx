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KCC\"/>
    </mc:Choice>
  </mc:AlternateContent>
  <xr:revisionPtr revIDLastSave="0" documentId="13_ncr:1_{4C0F4496-0F54-4781-A9AB-8A3F940CE2CD}" xr6:coauthVersionLast="47" xr6:coauthVersionMax="47" xr10:uidLastSave="{00000000-0000-0000-0000-000000000000}"/>
  <bookViews>
    <workbookView xWindow="-120" yWindow="-120" windowWidth="20730" windowHeight="11040" xr2:uid="{C608C2EE-14DB-41AF-894C-9E65A680B04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9" i="1" l="1"/>
  <c r="K19" i="1"/>
  <c r="J19" i="1"/>
  <c r="I19" i="1"/>
  <c r="H19" i="1"/>
  <c r="G19" i="1"/>
  <c r="F19" i="1"/>
  <c r="E19" i="1"/>
  <c r="L18" i="1"/>
  <c r="K18" i="1"/>
  <c r="J18" i="1"/>
  <c r="I18" i="1"/>
  <c r="H18" i="1"/>
  <c r="G18" i="1"/>
  <c r="F18" i="1"/>
  <c r="E18" i="1"/>
  <c r="L17" i="1"/>
  <c r="K17" i="1"/>
  <c r="J17" i="1"/>
  <c r="I17" i="1"/>
  <c r="H17" i="1"/>
  <c r="G17" i="1"/>
  <c r="F17" i="1"/>
  <c r="E17" i="1"/>
  <c r="L16" i="1"/>
  <c r="K16" i="1"/>
  <c r="J16" i="1"/>
  <c r="I16" i="1"/>
  <c r="H16" i="1"/>
  <c r="G16" i="1"/>
  <c r="F16" i="1"/>
  <c r="E16" i="1"/>
  <c r="L15" i="1"/>
  <c r="K15" i="1"/>
  <c r="J15" i="1"/>
  <c r="I15" i="1"/>
  <c r="H15" i="1"/>
  <c r="G15" i="1"/>
  <c r="F15" i="1"/>
  <c r="E15" i="1"/>
  <c r="L14" i="1"/>
  <c r="L20" i="1" s="1"/>
  <c r="K14" i="1"/>
  <c r="K20" i="1" s="1"/>
  <c r="J14" i="1"/>
  <c r="J20" i="1" s="1"/>
  <c r="I14" i="1"/>
  <c r="I20" i="1" s="1"/>
  <c r="H14" i="1"/>
  <c r="H20" i="1" s="1"/>
  <c r="G14" i="1"/>
  <c r="G20" i="1" s="1"/>
  <c r="F14" i="1"/>
  <c r="F20" i="1" s="1"/>
  <c r="E14" i="1"/>
  <c r="E20" i="1" s="1"/>
  <c r="F9" i="1"/>
  <c r="E9" i="1"/>
  <c r="F8" i="1"/>
  <c r="E8" i="1"/>
  <c r="F7" i="1"/>
  <c r="E7" i="1"/>
  <c r="F6" i="1"/>
  <c r="E6" i="1"/>
  <c r="F5" i="1"/>
  <c r="E5" i="1"/>
</calcChain>
</file>

<file path=xl/sharedStrings.xml><?xml version="1.0" encoding="utf-8"?>
<sst xmlns="http://schemas.openxmlformats.org/spreadsheetml/2006/main" count="39" uniqueCount="38">
  <si>
    <r>
      <rPr>
        <b/>
        <sz val="18"/>
        <color theme="1"/>
        <rFont val="Times New Roman"/>
        <family val="1"/>
      </rPr>
      <t>T.U.</t>
    </r>
    <r>
      <rPr>
        <b/>
        <sz val="18"/>
        <color theme="1"/>
        <rFont val="Bamini"/>
        <family val="2"/>
      </rPr>
      <t>3 Njthuk; njhlf;f Ntshz;ik $l;LwT fld; rq;fk;  Njthuk;</t>
    </r>
  </si>
  <si>
    <t>tpguk;</t>
  </si>
  <si>
    <t>vz;</t>
  </si>
  <si>
    <t>njhif</t>
  </si>
  <si>
    <t>Kd; fld; t#ypy; fpisapy; ,Urhy;</t>
  </si>
  <si>
    <t xml:space="preserve">Gjpa cWg;gpdh;fs; </t>
  </si>
  <si>
    <t>SC</t>
  </si>
  <si>
    <r>
      <t xml:space="preserve">SC/ST </t>
    </r>
    <r>
      <rPr>
        <sz val="12"/>
        <color theme="1"/>
        <rFont val="Bamini"/>
        <family val="2"/>
      </rPr>
      <t>cWg;gpdh;fs;</t>
    </r>
  </si>
  <si>
    <t>Others</t>
  </si>
  <si>
    <t xml:space="preserve">,ju cWg;gpdh;fs; </t>
  </si>
  <si>
    <t>Small</t>
  </si>
  <si>
    <r>
      <t>SF/MF</t>
    </r>
    <r>
      <rPr>
        <sz val="12"/>
        <color theme="1"/>
        <rFont val="Bamini"/>
        <family val="2"/>
      </rPr>
      <t xml:space="preserve"> cWg;gpdh;fs;</t>
    </r>
  </si>
  <si>
    <t>Big</t>
  </si>
  <si>
    <r>
      <t>;</t>
    </r>
    <r>
      <rPr>
        <sz val="12"/>
        <color theme="1"/>
        <rFont val="Times New Roman"/>
        <family val="1"/>
      </rPr>
      <t xml:space="preserve"> OF</t>
    </r>
    <r>
      <rPr>
        <sz val="12"/>
        <color theme="1"/>
        <rFont val="Bamini"/>
        <family val="2"/>
      </rPr>
      <t xml:space="preserve"> cWg;gpdHfs;</t>
    </r>
  </si>
  <si>
    <t>Female</t>
  </si>
  <si>
    <t>ngz; cWg;gpdh;fs;</t>
  </si>
  <si>
    <t>gapH thupahd tpguk;</t>
  </si>
  <si>
    <t>t.vz;</t>
  </si>
  <si>
    <t>gapH</t>
  </si>
  <si>
    <t>vz;zpf;if</t>
  </si>
  <si>
    <t>epygug;G V.nr</t>
  </si>
  <si>
    <t>tpij gFjp</t>
  </si>
  <si>
    <r>
      <t>,urhad cuk; 50</t>
    </r>
    <r>
      <rPr>
        <b/>
        <sz val="12"/>
        <color theme="1"/>
        <rFont val="Times New Roman"/>
        <family val="1"/>
      </rPr>
      <t>%</t>
    </r>
  </si>
  <si>
    <r>
      <t>njhO cuk; 50</t>
    </r>
    <r>
      <rPr>
        <b/>
        <sz val="12"/>
        <color theme="1"/>
        <rFont val="Times New Roman"/>
        <family val="1"/>
      </rPr>
      <t>%</t>
    </r>
  </si>
  <si>
    <t>G+r;rp kUe;J</t>
  </si>
  <si>
    <t xml:space="preserve">nuhf;fk; </t>
  </si>
  <si>
    <t>nkhj;jk;</t>
  </si>
  <si>
    <t>njd;id</t>
  </si>
  <si>
    <t>kuts;sp</t>
  </si>
  <si>
    <t>thio</t>
  </si>
  <si>
    <t>nfha;ah</t>
  </si>
  <si>
    <t>Vyk;</t>
  </si>
  <si>
    <t>kh</t>
  </si>
  <si>
    <t>NkNy fz;l cWg;gpdh;fs; epyq;fis Ma;T nra;J rpl;lh mlq;fypy; Fwpg;gpl;Ls;s gaph;fis gaphpl;Ls;sdh; 
vd Nehpy; nrd;W Ma;T nra;Njd; vd rhd;W nra;fpd;Nwd;</t>
  </si>
  <si>
    <t>nrayhsH</t>
  </si>
  <si>
    <r>
      <t xml:space="preserve">$l;LwT rhh; gjpthsh; </t>
    </r>
    <r>
      <rPr>
        <b/>
        <sz val="13"/>
        <color theme="1"/>
        <rFont val="Times New Roman"/>
        <family val="1"/>
      </rPr>
      <t>/</t>
    </r>
    <r>
      <rPr>
        <b/>
        <sz val="13"/>
        <color theme="1"/>
        <rFont val="Bamini"/>
        <family val="2"/>
      </rPr>
      <t xml:space="preserve"> nrayhl;rpah;</t>
    </r>
  </si>
  <si>
    <t>mDkjpf;F</t>
  </si>
  <si>
    <t>ruf Nkw;ghHitahsH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</si>
</sst>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Bamini"/>
      <family val="1"/>
    </font>
    <font>
      <b/>
      <sz val="18"/>
      <color theme="1"/>
      <name val="Times New Roman"/>
      <family val="1"/>
    </font>
    <font>
      <b/>
      <sz val="18"/>
      <color theme="1"/>
      <name val="Bamini"/>
      <family val="2"/>
    </font>
    <font>
      <b/>
      <sz val="14"/>
      <color theme="1"/>
      <name val="Bamini"/>
      <family val="1"/>
    </font>
    <font>
      <b/>
      <sz val="12"/>
      <color theme="1"/>
      <name val="Bamini"/>
      <family val="2"/>
    </font>
    <font>
      <sz val="12"/>
      <color theme="0"/>
      <name val="Times New Roman"/>
      <family val="2"/>
    </font>
    <font>
      <sz val="12"/>
      <color theme="1"/>
      <name val="Bamini"/>
      <family val="2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4"/>
      <color theme="1"/>
      <name val="Bamini"/>
      <family val="2"/>
    </font>
    <font>
      <sz val="11"/>
      <color theme="1"/>
      <name val="Bamini"/>
      <family val="2"/>
    </font>
    <font>
      <sz val="11"/>
      <color theme="1"/>
      <name val="Times New Roman"/>
      <family val="1"/>
    </font>
    <font>
      <b/>
      <sz val="13"/>
      <color theme="1"/>
      <name val="Bamini"/>
      <family val="2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7" fillId="0" borderId="0" xfId="0" applyFont="1"/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right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1" xfId="1" applyNumberFormat="1" applyFont="1" applyBorder="1" applyAlignment="1">
      <alignment horizontal="right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6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6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d%202.xlsx" TargetMode="External"/><Relationship Id="rId2" Type="http://schemas.openxmlformats.org/officeDocument/2006/relationships/externalLinkPath" Target="file:///C:\Users\ELCOT\Desktop\Pad%202.xlsx" TargetMode="External"/><Relationship Id="rId1" Type="http://schemas.openxmlformats.org/officeDocument/2006/relationships/externalLinkPath" Target="/Users/ELCOT/Desktop/Pad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CC1"/>
      <sheetName val="KCC2"/>
      <sheetName val="Corp"/>
      <sheetName val="INS"/>
      <sheetName val="Front"/>
      <sheetName val="Note order"/>
      <sheetName val="Jabitha"/>
      <sheetName val="Sign"/>
    </sheetNames>
    <sheetDataSet>
      <sheetData sheetId="0">
        <row r="5">
          <cell r="L5">
            <v>0.85</v>
          </cell>
          <cell r="M5" t="str">
            <v>Vyk;</v>
          </cell>
          <cell r="N5">
            <v>0</v>
          </cell>
          <cell r="O5">
            <v>4505</v>
          </cell>
          <cell r="P5">
            <v>4505</v>
          </cell>
          <cell r="Q5">
            <v>3867</v>
          </cell>
          <cell r="R5">
            <v>45123</v>
          </cell>
          <cell r="S5">
            <v>58000</v>
          </cell>
        </row>
        <row r="6">
          <cell r="L6">
            <v>2</v>
          </cell>
          <cell r="M6" t="str">
            <v>Vyk;</v>
          </cell>
          <cell r="N6">
            <v>0</v>
          </cell>
          <cell r="O6">
            <v>8480</v>
          </cell>
          <cell r="P6">
            <v>8480</v>
          </cell>
          <cell r="Q6">
            <v>7280</v>
          </cell>
          <cell r="R6">
            <v>84760</v>
          </cell>
          <cell r="S6">
            <v>109000</v>
          </cell>
        </row>
        <row r="7">
          <cell r="L7">
            <v>2.2999999999999998</v>
          </cell>
          <cell r="M7" t="str">
            <v>njd;id</v>
          </cell>
          <cell r="N7">
            <v>0</v>
          </cell>
          <cell r="O7">
            <v>5233</v>
          </cell>
          <cell r="P7">
            <v>5232</v>
          </cell>
          <cell r="Q7">
            <v>5290</v>
          </cell>
          <cell r="R7">
            <v>80245</v>
          </cell>
          <cell r="S7">
            <v>96000</v>
          </cell>
        </row>
      </sheetData>
      <sheetData sheetId="1">
        <row r="5">
          <cell r="O5">
            <v>58000</v>
          </cell>
          <cell r="W5" t="str">
            <v>Others</v>
          </cell>
          <cell r="X5" t="str">
            <v>Small</v>
          </cell>
          <cell r="Y5" t="str">
            <v>Male</v>
          </cell>
        </row>
        <row r="6">
          <cell r="O6">
            <v>109000</v>
          </cell>
          <cell r="W6" t="str">
            <v>Others</v>
          </cell>
          <cell r="X6" t="str">
            <v>Small</v>
          </cell>
          <cell r="Y6" t="str">
            <v>Female</v>
          </cell>
        </row>
        <row r="7">
          <cell r="O7">
            <v>96000</v>
          </cell>
          <cell r="W7" t="str">
            <v>Others</v>
          </cell>
          <cell r="X7" t="str">
            <v>Small</v>
          </cell>
          <cell r="Y7" t="str">
            <v>Female</v>
          </cell>
        </row>
      </sheetData>
      <sheetData sheetId="2">
        <row r="5">
          <cell r="C5" t="str">
            <v>SC</v>
          </cell>
        </row>
        <row r="6">
          <cell r="C6" t="str">
            <v>Others</v>
          </cell>
        </row>
        <row r="7">
          <cell r="C7" t="str">
            <v>Small</v>
          </cell>
        </row>
        <row r="8">
          <cell r="C8" t="str">
            <v>Big</v>
          </cell>
        </row>
        <row r="9">
          <cell r="C9" t="str">
            <v>Female</v>
          </cell>
        </row>
        <row r="14">
          <cell r="D14" t="str">
            <v>njd;id</v>
          </cell>
        </row>
        <row r="15">
          <cell r="D15" t="str">
            <v>kuts;sp</v>
          </cell>
        </row>
        <row r="16">
          <cell r="D16" t="str">
            <v>thio</v>
          </cell>
        </row>
        <row r="17">
          <cell r="D17" t="str">
            <v>nfha;ah</v>
          </cell>
        </row>
        <row r="18">
          <cell r="D18" t="str">
            <v>Vyk;</v>
          </cell>
        </row>
        <row r="19">
          <cell r="D19" t="str">
            <v>kh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6A1C-FA4C-416F-86D8-371F8B627DF5}">
  <dimension ref="A1:O27"/>
  <sheetViews>
    <sheetView tabSelected="1" topLeftCell="A5" workbookViewId="0">
      <selection activeCell="J6" sqref="J6"/>
    </sheetView>
  </sheetViews>
  <sheetFormatPr defaultRowHeight="15" x14ac:dyDescent="0.25"/>
  <cols>
    <col min="3" max="3" width="7.42578125" bestFit="1" customWidth="1"/>
    <col min="4" max="4" width="32.28515625" customWidth="1"/>
    <col min="5" max="5" width="23.5703125" customWidth="1"/>
    <col min="6" max="6" width="19.5703125" customWidth="1"/>
    <col min="7" max="7" width="25.140625" customWidth="1"/>
    <col min="8" max="8" width="12.7109375" bestFit="1" customWidth="1"/>
    <col min="9" max="9" width="19.5703125" customWidth="1"/>
    <col min="10" max="10" width="25" bestFit="1" customWidth="1"/>
    <col min="11" max="11" width="11" bestFit="1" customWidth="1"/>
    <col min="12" max="12" width="10" bestFit="1" customWidth="1"/>
  </cols>
  <sheetData>
    <row r="1" spans="1:15" ht="22.5" x14ac:dyDescent="0.25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</row>
    <row r="3" spans="1:15" ht="15.75" x14ac:dyDescent="0.25">
      <c r="A3" s="3"/>
      <c r="B3" s="3"/>
      <c r="D3" s="4" t="s">
        <v>1</v>
      </c>
      <c r="E3" s="4" t="s">
        <v>2</v>
      </c>
      <c r="F3" s="4" t="s">
        <v>3</v>
      </c>
      <c r="G3" s="5" t="s">
        <v>4</v>
      </c>
      <c r="H3" s="5"/>
      <c r="I3" s="6"/>
      <c r="J3" s="7"/>
      <c r="K3" s="7"/>
      <c r="L3" s="7"/>
      <c r="M3" s="7"/>
      <c r="N3" s="7"/>
    </row>
    <row r="4" spans="1:15" ht="15.75" x14ac:dyDescent="0.25">
      <c r="A4" s="3"/>
      <c r="B4" s="3"/>
      <c r="C4" s="8"/>
      <c r="D4" s="9" t="s">
        <v>5</v>
      </c>
      <c r="E4" s="10">
        <v>0</v>
      </c>
      <c r="F4" s="11">
        <v>0</v>
      </c>
      <c r="G4" s="12"/>
      <c r="H4" s="13"/>
      <c r="I4" s="14"/>
      <c r="J4" s="7"/>
      <c r="K4" s="7"/>
      <c r="L4" s="7"/>
      <c r="M4" s="7"/>
      <c r="N4" s="7"/>
    </row>
    <row r="5" spans="1:15" ht="15.75" x14ac:dyDescent="0.25">
      <c r="A5" s="3"/>
      <c r="B5" s="3"/>
      <c r="C5" s="8" t="s">
        <v>6</v>
      </c>
      <c r="D5" s="15" t="s">
        <v>7</v>
      </c>
      <c r="E5" s="15">
        <f>COUNTIF([1]KCC2!$W$5:$W$7,[1]Corp!C5)</f>
        <v>0</v>
      </c>
      <c r="F5" s="16">
        <f>SUMIF([1]KCC2!$W$5:$W$7,C5,[1]KCC2!O5:O7)</f>
        <v>0</v>
      </c>
      <c r="G5" s="17"/>
      <c r="H5" s="13"/>
      <c r="I5" s="14"/>
      <c r="J5" s="7"/>
      <c r="K5" s="7"/>
      <c r="L5" s="7"/>
      <c r="M5" s="7"/>
      <c r="N5" s="7"/>
    </row>
    <row r="6" spans="1:15" ht="15.75" x14ac:dyDescent="0.25">
      <c r="A6" s="3"/>
      <c r="B6" s="3"/>
      <c r="C6" s="8" t="s">
        <v>8</v>
      </c>
      <c r="D6" s="9" t="s">
        <v>9</v>
      </c>
      <c r="E6" s="15">
        <f>COUNTIF([1]KCC2!$W$5:$W$7,[1]Corp!C6)</f>
        <v>3</v>
      </c>
      <c r="F6" s="16">
        <f>SUMIF([1]KCC2!$W$5:$W$7,C6,[1]KCC2!O5:O7)</f>
        <v>263000</v>
      </c>
      <c r="G6" s="17"/>
      <c r="H6" s="18"/>
      <c r="I6" s="14"/>
      <c r="J6" s="7"/>
      <c r="K6" s="7"/>
      <c r="L6" s="7"/>
      <c r="M6" s="7"/>
      <c r="N6" s="7"/>
    </row>
    <row r="7" spans="1:15" ht="15.75" x14ac:dyDescent="0.25">
      <c r="A7" s="3"/>
      <c r="B7" s="3"/>
      <c r="C7" s="8" t="s">
        <v>10</v>
      </c>
      <c r="D7" s="15" t="s">
        <v>11</v>
      </c>
      <c r="E7" s="15">
        <f>COUNTIF([1]KCC2!$X$5:$X$7,[1]Corp!C7)</f>
        <v>3</v>
      </c>
      <c r="F7" s="16">
        <f>SUMIF([1]KCC2!$X$5:$X$7,C7,[1]KCC2!O5:O7)</f>
        <v>263000</v>
      </c>
      <c r="G7" s="19"/>
      <c r="H7" s="18"/>
      <c r="I7" s="20"/>
      <c r="J7" s="7"/>
      <c r="K7" s="7"/>
      <c r="L7" s="7"/>
      <c r="M7" s="7"/>
      <c r="N7" s="7"/>
    </row>
    <row r="8" spans="1:15" ht="15.75" x14ac:dyDescent="0.25">
      <c r="A8" s="3"/>
      <c r="B8" s="3"/>
      <c r="C8" s="8" t="s">
        <v>12</v>
      </c>
      <c r="D8" s="21" t="s">
        <v>13</v>
      </c>
      <c r="E8" s="15">
        <f>COUNTIF([1]KCC2!$X$5:$X$7,[1]Corp!C8)</f>
        <v>0</v>
      </c>
      <c r="F8" s="16">
        <f>SUMIF([1]KCC2!$X$5:$X$7,C8,[1]KCC2!O5:O7)</f>
        <v>0</v>
      </c>
      <c r="G8" s="19"/>
      <c r="H8" s="18"/>
      <c r="I8" s="20"/>
      <c r="J8" s="7"/>
      <c r="K8" s="7"/>
      <c r="L8" s="7"/>
      <c r="M8" s="7"/>
      <c r="N8" s="7"/>
    </row>
    <row r="9" spans="1:15" ht="15.75" x14ac:dyDescent="0.25">
      <c r="A9" s="3"/>
      <c r="B9" s="3"/>
      <c r="C9" s="8" t="s">
        <v>14</v>
      </c>
      <c r="D9" s="21" t="s">
        <v>15</v>
      </c>
      <c r="E9" s="15">
        <f>COUNTIF([1]KCC2!$Y$5:$Y$7,[1]Corp!C9)</f>
        <v>2</v>
      </c>
      <c r="F9" s="16">
        <f>SUMIF([1]KCC2!$Y$5:$Y$7,C9,[1]KCC2!O5:O7)</f>
        <v>205000</v>
      </c>
      <c r="G9" s="19"/>
      <c r="H9" s="18"/>
      <c r="I9" s="20"/>
      <c r="J9" s="7"/>
      <c r="K9" s="7"/>
      <c r="L9" s="7"/>
      <c r="M9" s="7"/>
      <c r="N9" s="7"/>
    </row>
    <row r="10" spans="1:15" x14ac:dyDescent="0.25">
      <c r="A10" s="3"/>
      <c r="B10" s="3"/>
      <c r="C10" s="7"/>
      <c r="D10" s="7"/>
      <c r="E10" s="7"/>
      <c r="F10" s="22"/>
      <c r="G10" s="7"/>
      <c r="H10" s="7"/>
      <c r="I10" s="7"/>
      <c r="J10" s="7"/>
      <c r="K10" s="7"/>
      <c r="L10" s="7"/>
      <c r="M10" s="7"/>
      <c r="N10" s="7"/>
      <c r="O10" s="7"/>
    </row>
    <row r="11" spans="1:15" ht="22.5" x14ac:dyDescent="0.25">
      <c r="A11" s="3"/>
      <c r="B11" s="3"/>
      <c r="C11" s="7"/>
      <c r="D11" s="23" t="s">
        <v>16</v>
      </c>
      <c r="E11" s="24"/>
      <c r="F11" s="24"/>
      <c r="G11" s="24"/>
      <c r="H11" s="25"/>
      <c r="I11" s="7"/>
      <c r="J11" s="7"/>
      <c r="K11" s="7"/>
      <c r="L11" s="7"/>
      <c r="M11" s="7"/>
      <c r="N11" s="7"/>
      <c r="O11" s="7"/>
    </row>
    <row r="12" spans="1:15" ht="18" x14ac:dyDescent="0.25">
      <c r="A12" s="3"/>
      <c r="B12" s="3"/>
      <c r="C12" s="7"/>
      <c r="D12" s="26"/>
      <c r="E12" s="26"/>
      <c r="F12" s="26"/>
      <c r="G12" s="26"/>
      <c r="H12" s="26"/>
      <c r="I12" s="27"/>
      <c r="J12" s="27"/>
      <c r="K12" s="7"/>
      <c r="L12" s="7"/>
      <c r="M12" s="7"/>
      <c r="N12" s="7"/>
      <c r="O12" s="7"/>
    </row>
    <row r="13" spans="1:15" ht="63" x14ac:dyDescent="0.25">
      <c r="A13" s="3"/>
      <c r="B13" s="3"/>
      <c r="C13" s="28" t="s">
        <v>17</v>
      </c>
      <c r="D13" s="28" t="s">
        <v>18</v>
      </c>
      <c r="E13" s="28" t="s">
        <v>19</v>
      </c>
      <c r="F13" s="4" t="s">
        <v>20</v>
      </c>
      <c r="G13" s="4" t="s">
        <v>21</v>
      </c>
      <c r="H13" s="4" t="s">
        <v>22</v>
      </c>
      <c r="I13" s="4" t="s">
        <v>23</v>
      </c>
      <c r="J13" s="4" t="s">
        <v>24</v>
      </c>
      <c r="K13" s="28" t="s">
        <v>25</v>
      </c>
      <c r="L13" s="28" t="s">
        <v>26</v>
      </c>
      <c r="M13" s="7"/>
      <c r="N13" s="7"/>
      <c r="O13" s="7"/>
    </row>
    <row r="14" spans="1:15" ht="15.75" x14ac:dyDescent="0.25">
      <c r="A14" s="3"/>
      <c r="B14" s="3"/>
      <c r="C14" s="29">
        <v>1</v>
      </c>
      <c r="D14" s="29" t="s">
        <v>27</v>
      </c>
      <c r="E14" s="30">
        <f>COUNTIF([1]KCC1!$M$5:$M$7,[1]Corp!D14)</f>
        <v>1</v>
      </c>
      <c r="F14" s="31">
        <f>SUMIF([1]KCC1!$M$5:$M$7,D14,[1]KCC1!$L$5:$L$7)</f>
        <v>2.2999999999999998</v>
      </c>
      <c r="G14" s="30">
        <f>SUMIF([1]KCC1!$M$5:$M$7,D14,[1]KCC1!$N$5:$N$7)</f>
        <v>0</v>
      </c>
      <c r="H14" s="30">
        <f>SUMIF([1]KCC1!$M$5:$M$7,D14,[1]KCC1!$O$5:$O$7)</f>
        <v>5233</v>
      </c>
      <c r="I14" s="30">
        <f>SUMIF([1]KCC1!$M$5:$M$7,D14,[1]KCC1!$P$5:$P$7)</f>
        <v>5232</v>
      </c>
      <c r="J14" s="30">
        <f>SUMIF([1]KCC1!$M$5:$M$7,D14,[1]KCC1!$Q$5:$Q$7)</f>
        <v>5290</v>
      </c>
      <c r="K14" s="30">
        <f>SUMIF([1]KCC1!$M$5:$M$7,D14,[1]KCC1!$R$5:$R$7)</f>
        <v>80245</v>
      </c>
      <c r="L14" s="30">
        <f>SUMIF([1]KCC1!$M$5:$M$7,D14,[1]KCC1!$S$5:$S$7)</f>
        <v>96000</v>
      </c>
      <c r="M14" s="7"/>
      <c r="N14" s="7"/>
      <c r="O14" s="7"/>
    </row>
    <row r="15" spans="1:15" ht="15.75" x14ac:dyDescent="0.25">
      <c r="A15" s="3"/>
      <c r="B15" s="3"/>
      <c r="C15" s="28">
        <v>2</v>
      </c>
      <c r="D15" s="29" t="s">
        <v>28</v>
      </c>
      <c r="E15" s="30">
        <f>COUNTIF([1]KCC1!$M$5:$M$7,[1]Corp!D15)</f>
        <v>0</v>
      </c>
      <c r="F15" s="31">
        <f>SUMIF([1]KCC1!$M$5:$M$7,D15,[1]KCC1!$L$5:$L$7)</f>
        <v>0</v>
      </c>
      <c r="G15" s="30">
        <f>SUMIF([1]KCC1!$M$5:$M$7,D15,[1]KCC1!$N$5:$N$7)</f>
        <v>0</v>
      </c>
      <c r="H15" s="30">
        <f>SUMIF([1]KCC1!$M$5:$M$7,D15,[1]KCC1!$O$5:$O$7)</f>
        <v>0</v>
      </c>
      <c r="I15" s="30">
        <f>SUMIF([1]KCC1!$M$5:$M$7,D15,[1]KCC1!$P$5:$P$7)</f>
        <v>0</v>
      </c>
      <c r="J15" s="30">
        <f>SUMIF([1]KCC1!$M$5:$M$7,D15,[1]KCC1!$Q$5:$Q$7)</f>
        <v>0</v>
      </c>
      <c r="K15" s="30">
        <f>SUMIF([1]KCC1!$M$5:$M$7,D15,[1]KCC1!$R$5:$R$7)</f>
        <v>0</v>
      </c>
      <c r="L15" s="30">
        <f>SUMIF([1]KCC1!$M$5:$M$7,D15,[1]KCC1!$S$5:$S$7)</f>
        <v>0</v>
      </c>
      <c r="M15" s="7"/>
      <c r="N15" s="7"/>
      <c r="O15" s="7"/>
    </row>
    <row r="16" spans="1:15" ht="15.75" x14ac:dyDescent="0.25">
      <c r="A16" s="3"/>
      <c r="B16" s="3"/>
      <c r="C16" s="32">
        <v>3</v>
      </c>
      <c r="D16" s="29" t="s">
        <v>29</v>
      </c>
      <c r="E16" s="30">
        <f>COUNTIF([1]KCC1!$M$5:$M$7,[1]Corp!D16)</f>
        <v>0</v>
      </c>
      <c r="F16" s="31">
        <f>SUMIF([1]KCC1!$M$5:$M$7,D16,[1]KCC1!$L$5:$L$7)</f>
        <v>0</v>
      </c>
      <c r="G16" s="30">
        <f>SUMIF([1]KCC1!$M$5:$M$7,D16,[1]KCC1!$N$5:$N$7)</f>
        <v>0</v>
      </c>
      <c r="H16" s="30">
        <f>SUMIF([1]KCC1!$M$5:$M$7,D16,[1]KCC1!$O$5:$O$7)</f>
        <v>0</v>
      </c>
      <c r="I16" s="30">
        <f>SUMIF([1]KCC1!$M$5:$M$7,D16,[1]KCC1!$P$5:$P$7)</f>
        <v>0</v>
      </c>
      <c r="J16" s="30">
        <f>SUMIF([1]KCC1!$M$5:$M$7,D16,[1]KCC1!$Q$5:$Q$7)</f>
        <v>0</v>
      </c>
      <c r="K16" s="30">
        <f>SUMIF([1]KCC1!$M$5:$M$7,D16,[1]KCC1!$R$5:$R$7)</f>
        <v>0</v>
      </c>
      <c r="L16" s="30">
        <f>SUMIF([1]KCC1!$M$5:$M$7,D16,[1]KCC1!$S$5:$S$7)</f>
        <v>0</v>
      </c>
      <c r="M16" s="7"/>
      <c r="N16" s="7"/>
      <c r="O16" s="7"/>
    </row>
    <row r="17" spans="1:15" ht="15.75" x14ac:dyDescent="0.25">
      <c r="A17" s="3"/>
      <c r="B17" s="3"/>
      <c r="C17" s="32">
        <v>4</v>
      </c>
      <c r="D17" s="29" t="s">
        <v>30</v>
      </c>
      <c r="E17" s="30">
        <f>COUNTIF([1]KCC1!$M$5:$M$7,[1]Corp!D17)</f>
        <v>0</v>
      </c>
      <c r="F17" s="31">
        <f>SUMIF([1]KCC1!$M$5:$M$7,D17,[1]KCC1!$L$5:$L$7)</f>
        <v>0</v>
      </c>
      <c r="G17" s="30">
        <f>SUMIF([1]KCC1!$M$5:$M$7,D17,[1]KCC1!$N$5:$N$7)</f>
        <v>0</v>
      </c>
      <c r="H17" s="30">
        <f>SUMIF([1]KCC1!$M$5:$M$7,D17,[1]KCC1!$O$5:$O$7)</f>
        <v>0</v>
      </c>
      <c r="I17" s="30">
        <f>SUMIF([1]KCC1!$M$5:$M$7,D17,[1]KCC1!$P$5:$P$7)</f>
        <v>0</v>
      </c>
      <c r="J17" s="30">
        <f>SUMIF([1]KCC1!$M$5:$M$7,D17,[1]KCC1!$Q$5:$Q$7)</f>
        <v>0</v>
      </c>
      <c r="K17" s="30">
        <f>SUMIF([1]KCC1!$M$5:$M$7,D17,[1]KCC1!$R$5:$R$7)</f>
        <v>0</v>
      </c>
      <c r="L17" s="30">
        <f>SUMIF([1]KCC1!$M$5:$M$7,D17,[1]KCC1!$S$5:$S$7)</f>
        <v>0</v>
      </c>
      <c r="M17" s="7"/>
      <c r="N17" s="7"/>
      <c r="O17" s="7"/>
    </row>
    <row r="18" spans="1:15" ht="15.75" x14ac:dyDescent="0.25">
      <c r="A18" s="3"/>
      <c r="B18" s="3"/>
      <c r="C18" s="32">
        <v>5</v>
      </c>
      <c r="D18" s="29" t="s">
        <v>31</v>
      </c>
      <c r="E18" s="30">
        <f>COUNTIF([1]KCC1!$M$5:$M$7,[1]Corp!D18)</f>
        <v>2</v>
      </c>
      <c r="F18" s="31">
        <f>SUMIF([1]KCC1!$M$5:$M$7,D18,[1]KCC1!$L$5:$L$7)</f>
        <v>2.85</v>
      </c>
      <c r="G18" s="30">
        <f>SUMIF([1]KCC1!$M$5:$M$7,D18,[1]KCC1!$N$5:$N$7)</f>
        <v>0</v>
      </c>
      <c r="H18" s="30">
        <f>SUMIF([1]KCC1!$M$5:$M$7,D18,[1]KCC1!$O$5:$O$7)</f>
        <v>12985</v>
      </c>
      <c r="I18" s="30">
        <f>SUMIF([1]KCC1!$M$5:$M$7,D18,[1]KCC1!$P$5:$P$7)</f>
        <v>12985</v>
      </c>
      <c r="J18" s="30">
        <f>SUMIF([1]KCC1!$M$5:$M$7,D18,[1]KCC1!$Q$5:$Q$7)</f>
        <v>11147</v>
      </c>
      <c r="K18" s="30">
        <f>SUMIF([1]KCC1!$M$5:$M$7,D18,[1]KCC1!$R$5:$R$7)</f>
        <v>129883</v>
      </c>
      <c r="L18" s="30">
        <f>SUMIF([1]KCC1!$M$5:$M$7,D18,[1]KCC1!$S$5:$S$7)</f>
        <v>167000</v>
      </c>
      <c r="M18" s="7"/>
      <c r="N18" s="7"/>
      <c r="O18" s="7"/>
    </row>
    <row r="19" spans="1:15" ht="15.75" x14ac:dyDescent="0.25">
      <c r="A19" s="3"/>
      <c r="B19" s="3"/>
      <c r="C19" s="32">
        <v>6</v>
      </c>
      <c r="D19" s="29" t="s">
        <v>32</v>
      </c>
      <c r="E19" s="30">
        <f>COUNTIF([1]KCC1!$M$5:$M$7,[1]Corp!D19)</f>
        <v>0</v>
      </c>
      <c r="F19" s="31">
        <f>SUMIF([1]KCC1!$M$5:$M$7,D19,[1]KCC1!$L$5:$L$7)</f>
        <v>0</v>
      </c>
      <c r="G19" s="30">
        <f>SUMIF([1]KCC1!$M$5:$M$7,D19,[1]KCC1!$N$5:$N$7)</f>
        <v>0</v>
      </c>
      <c r="H19" s="30">
        <f>SUMIF([1]KCC1!$M$5:$M$7,D19,[1]KCC1!$O$5:$O$7)</f>
        <v>0</v>
      </c>
      <c r="I19" s="30">
        <f>SUMIF([1]KCC1!$M$5:$M$7,D19,[1]KCC1!$P$5:$P$7)</f>
        <v>0</v>
      </c>
      <c r="J19" s="30">
        <f>SUMIF([1]KCC1!$M$5:$M$7,D19,[1]KCC1!$Q$5:$Q$7)</f>
        <v>0</v>
      </c>
      <c r="K19" s="30">
        <f>SUMIF([1]KCC1!$M$5:$M$7,D19,[1]KCC1!$R$5:$R$7)</f>
        <v>0</v>
      </c>
      <c r="L19" s="30">
        <f>SUMIF([1]KCC1!$M$5:$M$7,D19,[1]KCC1!$S$5:$S$7)</f>
        <v>0</v>
      </c>
      <c r="M19" s="33"/>
      <c r="N19" s="34"/>
      <c r="O19" s="34"/>
    </row>
    <row r="20" spans="1:15" ht="15.75" x14ac:dyDescent="0.25">
      <c r="A20" s="3"/>
      <c r="B20" s="3"/>
      <c r="C20" s="35"/>
      <c r="D20" s="36" t="s">
        <v>26</v>
      </c>
      <c r="E20" s="37">
        <f>SUM(E14:E19)</f>
        <v>3</v>
      </c>
      <c r="F20" s="38">
        <f t="shared" ref="F20:L20" si="0">SUM(F14:F19)</f>
        <v>5.15</v>
      </c>
      <c r="G20" s="39">
        <f t="shared" si="0"/>
        <v>0</v>
      </c>
      <c r="H20" s="39">
        <f t="shared" si="0"/>
        <v>18218</v>
      </c>
      <c r="I20" s="39">
        <f t="shared" si="0"/>
        <v>18217</v>
      </c>
      <c r="J20" s="39">
        <f t="shared" si="0"/>
        <v>16437</v>
      </c>
      <c r="K20" s="39">
        <f t="shared" si="0"/>
        <v>210128</v>
      </c>
      <c r="L20" s="39">
        <f t="shared" si="0"/>
        <v>263000</v>
      </c>
      <c r="M20" s="7"/>
      <c r="N20" s="40"/>
      <c r="O20" s="40"/>
    </row>
    <row r="21" spans="1:15" ht="15.75" x14ac:dyDescent="0.25">
      <c r="A21" s="35"/>
      <c r="B21" s="35"/>
      <c r="C21" s="7"/>
      <c r="D21" s="7"/>
      <c r="E21" s="7"/>
      <c r="F21" s="22"/>
      <c r="G21" s="7"/>
      <c r="H21" s="7"/>
      <c r="I21" s="7"/>
      <c r="J21" s="7"/>
      <c r="K21" s="7"/>
      <c r="L21" s="7"/>
      <c r="M21" s="7"/>
      <c r="N21" s="40"/>
      <c r="O21" s="40"/>
    </row>
    <row r="22" spans="1:15" ht="15.75" x14ac:dyDescent="0.25">
      <c r="A22" s="41" t="s">
        <v>33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</row>
    <row r="23" spans="1:15" ht="15.75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</row>
    <row r="24" spans="1:15" ht="15.75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</row>
    <row r="25" spans="1:15" ht="15.75" x14ac:dyDescent="0.25">
      <c r="A25" s="35"/>
      <c r="B25" s="35"/>
      <c r="C25" s="7"/>
      <c r="D25" s="7"/>
      <c r="E25" s="7"/>
      <c r="F25" s="22"/>
      <c r="G25" s="7"/>
      <c r="H25" s="7"/>
      <c r="I25" s="7"/>
      <c r="J25" s="7"/>
      <c r="K25" s="7"/>
      <c r="L25" s="7"/>
      <c r="M25" s="7"/>
      <c r="N25" s="40"/>
      <c r="O25" s="40"/>
    </row>
    <row r="26" spans="1:15" ht="16.5" x14ac:dyDescent="0.25">
      <c r="A26" s="35"/>
      <c r="B26" s="43" t="s">
        <v>34</v>
      </c>
      <c r="C26" s="43"/>
      <c r="D26" s="44" t="s">
        <v>35</v>
      </c>
      <c r="E26" s="44"/>
      <c r="F26" s="44"/>
      <c r="G26" s="44"/>
      <c r="H26" s="45" t="s">
        <v>36</v>
      </c>
      <c r="I26" s="45"/>
      <c r="J26" s="45" t="s">
        <v>37</v>
      </c>
      <c r="K26" s="45"/>
      <c r="L26" s="45"/>
      <c r="M26" s="45"/>
      <c r="N26" s="40"/>
      <c r="O26" s="40"/>
    </row>
    <row r="27" spans="1:15" x14ac:dyDescent="0.25">
      <c r="A27" s="3"/>
      <c r="B27" s="3"/>
      <c r="C27" s="7"/>
      <c r="D27" s="7"/>
      <c r="E27" s="7"/>
      <c r="F27" s="22"/>
      <c r="G27" s="7"/>
      <c r="H27" s="7"/>
      <c r="I27" s="7"/>
      <c r="J27" s="7"/>
      <c r="K27" s="7"/>
      <c r="L27" s="7"/>
      <c r="M27" s="7"/>
      <c r="N27" s="7"/>
      <c r="O27" s="7"/>
    </row>
  </sheetData>
  <mergeCells count="6">
    <mergeCell ref="C1:L1"/>
    <mergeCell ref="G3:H3"/>
    <mergeCell ref="D11:H11"/>
    <mergeCell ref="A22:O22"/>
    <mergeCell ref="B26:C26"/>
    <mergeCell ref="D26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a49860</dc:creator>
  <cp:lastModifiedBy>a49860</cp:lastModifiedBy>
  <dcterms:created xsi:type="dcterms:W3CDTF">2026-07-17T12:16:16Z</dcterms:created>
  <dcterms:modified xsi:type="dcterms:W3CDTF">2026-07-17T12:18:55Z</dcterms:modified>
</cp:coreProperties>
</file>