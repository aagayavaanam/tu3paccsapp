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74E44BAA-66D9-41AF-8D00-1A8027CBAB07}" xr6:coauthVersionLast="47" xr6:coauthVersionMax="47" xr10:uidLastSave="{00000000-0000-0000-0000-000000000000}"/>
  <bookViews>
    <workbookView xWindow="-120" yWindow="-120" windowWidth="20730" windowHeight="11040" xr2:uid="{5DAACBD5-EE87-4630-BFD7-208179702D77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" i="1" l="1"/>
  <c r="M13" i="1"/>
  <c r="L13" i="1"/>
  <c r="J13" i="1"/>
  <c r="I13" i="1"/>
  <c r="H13" i="1"/>
  <c r="G13" i="1"/>
  <c r="F13" i="1"/>
  <c r="E13" i="1"/>
  <c r="D13" i="1"/>
  <c r="M12" i="1"/>
  <c r="L12" i="1"/>
  <c r="J12" i="1"/>
  <c r="I12" i="1"/>
  <c r="H12" i="1"/>
  <c r="G12" i="1"/>
  <c r="F12" i="1"/>
  <c r="E12" i="1"/>
  <c r="D12" i="1"/>
  <c r="M11" i="1"/>
  <c r="L11" i="1"/>
  <c r="J11" i="1"/>
  <c r="I11" i="1"/>
  <c r="H11" i="1"/>
  <c r="G11" i="1"/>
  <c r="F11" i="1"/>
  <c r="E11" i="1"/>
  <c r="D11" i="1"/>
</calcChain>
</file>

<file path=xl/sharedStrings.xml><?xml version="1.0" encoding="utf-8"?>
<sst xmlns="http://schemas.openxmlformats.org/spreadsheetml/2006/main" count="18" uniqueCount="18">
  <si>
    <t>அனுப்புநர்</t>
  </si>
  <si>
    <t>பெறுநர்</t>
  </si>
  <si>
    <t>செயலாளர்
TU3 தேவாரம் PACCS
தேவாரம்</t>
  </si>
  <si>
    <t>கிளை மேலாளர் அவர்கள்
மதுரை மாவட்ட மத்திய கூட்டுறவு வங்கி, 
தேவாரம் கிளை</t>
  </si>
  <si>
    <t>காசுகடன் KCC -   உறுப்பினர்கள் விபத்துக் காப்பீடு விவரம்</t>
  </si>
  <si>
    <t>வ எண்</t>
  </si>
  <si>
    <t>உறுப்பினர்</t>
  </si>
  <si>
    <t>தகப்பனார்/ கணவர் பெயர்</t>
  </si>
  <si>
    <t>கிராமம்</t>
  </si>
  <si>
    <t>குடும்ப அட்டை எண்</t>
  </si>
  <si>
    <t>உடலில் உள்ள குறைபாடு</t>
  </si>
  <si>
    <t>நாமினியின் பெயர்</t>
  </si>
  <si>
    <t>உறவு</t>
  </si>
  <si>
    <t>சந்தாத் தொகை</t>
  </si>
  <si>
    <t>எண்</t>
  </si>
  <si>
    <t>சேமிப்பு எண்</t>
  </si>
  <si>
    <t>ERP</t>
  </si>
  <si>
    <t>பெயர்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</si>
</sst>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002060"/>
      <name val="TAU-Marutham"/>
      <family val="2"/>
    </font>
    <font>
      <sz val="10"/>
      <color rgb="FF002060"/>
      <name val="TAU-Marutham"/>
      <family val="2"/>
    </font>
    <font>
      <sz val="11"/>
      <color rgb="FF002060"/>
      <name val="TAU-Marutham"/>
      <family val="2"/>
    </font>
    <font>
      <b/>
      <sz val="10"/>
      <color rgb="FF002060"/>
      <name val="TAU-Marutham"/>
      <family val="2"/>
    </font>
    <font>
      <sz val="11"/>
      <color theme="1"/>
      <name val="Bamini"/>
      <family val="2"/>
    </font>
    <font>
      <sz val="11"/>
      <color theme="1"/>
      <name val="Times New Roman"/>
      <family val="1"/>
    </font>
    <font>
      <sz val="12"/>
      <color theme="1"/>
      <name val="Bamini"/>
      <family val="2"/>
    </font>
    <font>
      <sz val="13"/>
      <color theme="1"/>
      <name val="Bamini"/>
      <family val="2"/>
    </font>
    <font>
      <sz val="13"/>
      <color theme="1"/>
      <name val="Times New Roman"/>
      <family val="1"/>
    </font>
    <font>
      <sz val="11"/>
      <color rgb="FF000000"/>
      <name val="Bamin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CCAH" TargetMode="External"/><Relationship Id="rId1" Type="http://schemas.openxmlformats.org/officeDocument/2006/relationships/externalLinkPath" Target="/KCCA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4">
          <cell r="C4" t="str">
            <v>m.vz;</v>
          </cell>
          <cell r="D4" t="str">
            <v>SB</v>
          </cell>
          <cell r="E4" t="str">
            <v>ERP</v>
          </cell>
          <cell r="F4" t="str">
            <v>ngaH</v>
          </cell>
        </row>
        <row r="5">
          <cell r="C5">
            <v>5178</v>
          </cell>
          <cell r="D5">
            <v>842</v>
          </cell>
          <cell r="E5">
            <v>102596</v>
          </cell>
          <cell r="F5" t="str">
            <v>P</v>
          </cell>
          <cell r="G5" t="str">
            <v>Kj;Jtp[ad;</v>
          </cell>
        </row>
        <row r="6">
          <cell r="C6">
            <v>5595</v>
          </cell>
          <cell r="D6">
            <v>1264</v>
          </cell>
          <cell r="E6">
            <v>103013</v>
          </cell>
          <cell r="F6" t="str">
            <v>K</v>
          </cell>
          <cell r="G6" t="str">
            <v>Njtpfh uhzp</v>
          </cell>
        </row>
        <row r="7">
          <cell r="C7">
            <v>5634</v>
          </cell>
          <cell r="D7">
            <v>1338</v>
          </cell>
          <cell r="E7">
            <v>103055</v>
          </cell>
          <cell r="F7" t="str">
            <v>M</v>
          </cell>
          <cell r="G7" t="str">
            <v>KUNf];thp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KCC1"/>
      <sheetName val="KCC2"/>
      <sheetName val="Corp"/>
      <sheetName val="INS"/>
      <sheetName val="Front"/>
      <sheetName val="Note order"/>
      <sheetName val="Jabith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3E99-3DF5-4F03-B11F-F01C057BD9ED}">
  <dimension ref="B2:N15"/>
  <sheetViews>
    <sheetView tabSelected="1" workbookViewId="0">
      <selection activeCell="O8" sqref="O8"/>
    </sheetView>
  </sheetViews>
  <sheetFormatPr defaultRowHeight="15" x14ac:dyDescent="0.25"/>
  <cols>
    <col min="4" max="4" width="11.7109375" customWidth="1"/>
    <col min="7" max="7" width="14.140625" bestFit="1" customWidth="1"/>
    <col min="8" max="8" width="14.7109375" customWidth="1"/>
    <col min="9" max="9" width="12.7109375" customWidth="1"/>
    <col min="11" max="11" width="12.28515625" customWidth="1"/>
    <col min="12" max="12" width="15.5703125" customWidth="1"/>
    <col min="14" max="14" width="12.7109375" customWidth="1"/>
  </cols>
  <sheetData>
    <row r="2" spans="2:14" ht="18.75" x14ac:dyDescent="0.25">
      <c r="B2" s="1" t="s">
        <v>0</v>
      </c>
      <c r="C2" s="2"/>
      <c r="D2" s="3"/>
      <c r="E2" s="3"/>
      <c r="F2" s="3"/>
      <c r="G2" s="4"/>
      <c r="H2" s="4"/>
      <c r="I2" s="4"/>
      <c r="J2" s="4"/>
      <c r="K2" s="5" t="s">
        <v>1</v>
      </c>
      <c r="L2" s="4"/>
      <c r="M2" s="4"/>
    </row>
    <row r="3" spans="2:14" ht="18.75" x14ac:dyDescent="0.25">
      <c r="B3" s="6" t="s">
        <v>2</v>
      </c>
      <c r="C3" s="7"/>
      <c r="D3" s="8"/>
      <c r="E3" s="8"/>
      <c r="F3" s="8"/>
      <c r="G3" s="8"/>
      <c r="H3" s="8"/>
      <c r="I3" s="9"/>
      <c r="J3" s="9"/>
      <c r="K3" s="7" t="s">
        <v>3</v>
      </c>
      <c r="L3" s="8"/>
      <c r="M3" s="10"/>
    </row>
    <row r="4" spans="2:14" ht="18.75" x14ac:dyDescent="0.25">
      <c r="B4" s="11"/>
      <c r="C4" s="12"/>
      <c r="D4" s="12"/>
      <c r="E4" s="12"/>
      <c r="F4" s="12"/>
      <c r="G4" s="12"/>
      <c r="H4" s="12"/>
      <c r="I4" s="4"/>
      <c r="J4" s="4"/>
      <c r="K4" s="12"/>
      <c r="L4" s="12"/>
      <c r="M4" s="13"/>
    </row>
    <row r="5" spans="2:14" ht="18.75" x14ac:dyDescent="0.25">
      <c r="B5" s="11"/>
      <c r="C5" s="12"/>
      <c r="D5" s="12"/>
      <c r="E5" s="12"/>
      <c r="F5" s="12"/>
      <c r="G5" s="12"/>
      <c r="H5" s="12"/>
      <c r="I5" s="4"/>
      <c r="J5" s="4"/>
      <c r="K5" s="12"/>
      <c r="L5" s="12"/>
      <c r="M5" s="13"/>
    </row>
    <row r="6" spans="2:14" ht="18.75" x14ac:dyDescent="0.25">
      <c r="B6" s="11"/>
      <c r="C6" s="12"/>
      <c r="D6" s="12"/>
      <c r="E6" s="12"/>
      <c r="F6" s="12"/>
      <c r="G6" s="12"/>
      <c r="H6" s="12"/>
      <c r="I6" s="4"/>
      <c r="J6" s="4"/>
      <c r="K6" s="12"/>
      <c r="L6" s="12"/>
      <c r="M6" s="13"/>
    </row>
    <row r="7" spans="2:14" ht="18.75" x14ac:dyDescent="0.25">
      <c r="B7" s="11"/>
      <c r="C7" s="12"/>
      <c r="D7" s="12"/>
      <c r="E7" s="12"/>
      <c r="F7" s="12"/>
      <c r="G7" s="12"/>
      <c r="H7" s="12"/>
      <c r="I7" s="4"/>
      <c r="J7" s="4"/>
      <c r="K7" s="12"/>
      <c r="L7" s="12"/>
      <c r="M7" s="13"/>
    </row>
    <row r="8" spans="2:14" ht="18.75" x14ac:dyDescent="0.25">
      <c r="B8" s="14" t="s">
        <v>4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7"/>
    </row>
    <row r="9" spans="2:14" ht="18.75" x14ac:dyDescent="0.25">
      <c r="B9" s="18" t="s">
        <v>5</v>
      </c>
      <c r="C9" s="19" t="s">
        <v>6</v>
      </c>
      <c r="D9" s="20"/>
      <c r="E9" s="21"/>
      <c r="F9" s="21"/>
      <c r="G9" s="22"/>
      <c r="H9" s="23" t="s">
        <v>7</v>
      </c>
      <c r="I9" s="23" t="s">
        <v>8</v>
      </c>
      <c r="J9" s="23" t="s">
        <v>9</v>
      </c>
      <c r="K9" s="23" t="s">
        <v>10</v>
      </c>
      <c r="L9" s="23" t="s">
        <v>11</v>
      </c>
      <c r="M9" s="24" t="s">
        <v>12</v>
      </c>
      <c r="N9" s="25" t="s">
        <v>13</v>
      </c>
    </row>
    <row r="10" spans="2:14" ht="37.5" x14ac:dyDescent="0.25">
      <c r="B10" s="26"/>
      <c r="C10" s="27" t="s">
        <v>14</v>
      </c>
      <c r="D10" s="28" t="s">
        <v>15</v>
      </c>
      <c r="E10" s="29" t="s">
        <v>16</v>
      </c>
      <c r="F10" s="14" t="s">
        <v>17</v>
      </c>
      <c r="G10" s="30"/>
      <c r="H10" s="23"/>
      <c r="I10" s="23"/>
      <c r="J10" s="23"/>
      <c r="K10" s="23"/>
      <c r="L10" s="23"/>
      <c r="M10" s="31"/>
      <c r="N10" s="24"/>
    </row>
    <row r="11" spans="2:14" ht="16.5" x14ac:dyDescent="0.25">
      <c r="B11" s="32">
        <v>1</v>
      </c>
      <c r="C11" s="33">
        <v>5178</v>
      </c>
      <c r="D11" s="34">
        <f>IFERROR(INDEX([1]KCC1!D:D, MATCH(C11, [1]KCC1!$C:$C, 0)), "Not")</f>
        <v>842</v>
      </c>
      <c r="E11" s="34">
        <f>IFERROR(INDEX([1]KCC1!E:E, MATCH(C11, [1]KCC1!$C:$C, 0)), "Not")</f>
        <v>102596</v>
      </c>
      <c r="F11" s="34" t="str">
        <f>IFERROR(INDEX([1]KCC1!F:F, MATCH(C11, [1]KCC1!$C:$C, 0)), "Not")</f>
        <v>P</v>
      </c>
      <c r="G11" s="35" t="str">
        <f>IFERROR(INDEX([1]KCC1!G:G, MATCH(C11, [1]KCC1!$C:$C, 0)), "Not")</f>
        <v>Kj;Jtp[ad;</v>
      </c>
      <c r="H11" s="36" t="str">
        <f>IFERROR(INDEX([2]Sheet1!F:F, MATCH(C11, [2]Sheet1!$A:$A, 0)), "Not")</f>
        <v>Not</v>
      </c>
      <c r="I11" s="36" t="str">
        <f>IFERROR(INDEX([2]Sheet1!I:I, MATCH(C11, [2]Sheet1!$A:$A, 0)), "Not")</f>
        <v>Not</v>
      </c>
      <c r="J11" s="37" t="str">
        <f>IFERROR(INDEX([2]Sheet1!L:L, MATCH(C11, [2]Sheet1!$A:$A, 0)), "Not")</f>
        <v>Not</v>
      </c>
      <c r="K11" s="38">
        <v>0</v>
      </c>
      <c r="L11" s="36" t="str">
        <f>IFERROR(INDEX([2]Sheet1!M:M, MATCH(C11, [2]Sheet1!$A:$A, 0)), "Not")</f>
        <v>Not</v>
      </c>
      <c r="M11" s="36" t="str">
        <f>IFERROR(INDEX([2]Sheet1!N:N, MATCH(C11, [2]Sheet1!$A:$A, 0)), "Not")</f>
        <v>Not</v>
      </c>
      <c r="N11" s="38">
        <v>0</v>
      </c>
    </row>
    <row r="12" spans="2:14" ht="16.5" x14ac:dyDescent="0.25">
      <c r="B12" s="32">
        <v>2</v>
      </c>
      <c r="C12" s="33">
        <v>5595</v>
      </c>
      <c r="D12" s="34">
        <f>IFERROR(INDEX([1]KCC1!D:D, MATCH(C12, [1]KCC1!$C:$C, 0)), "Not")</f>
        <v>1264</v>
      </c>
      <c r="E12" s="34">
        <f>IFERROR(INDEX([1]KCC1!E:E, MATCH(C12, [1]KCC1!$C:$C, 0)), "Not")</f>
        <v>103013</v>
      </c>
      <c r="F12" s="34" t="str">
        <f>IFERROR(INDEX([1]KCC1!F:F, MATCH(C12, [1]KCC1!$C:$C, 0)), "Not")</f>
        <v>K</v>
      </c>
      <c r="G12" s="35" t="str">
        <f>IFERROR(INDEX([1]KCC1!G:G, MATCH(C12, [1]KCC1!$C:$C, 0)), "Not")</f>
        <v>Njtpfh uhzp</v>
      </c>
      <c r="H12" s="36" t="str">
        <f>IFERROR(INDEX([2]Sheet1!F:F, MATCH(C12, [2]Sheet1!$A:$A, 0)), "Not")</f>
        <v>Not</v>
      </c>
      <c r="I12" s="36" t="str">
        <f>IFERROR(INDEX([2]Sheet1!I:I, MATCH(C12, [2]Sheet1!$A:$A, 0)), "Not")</f>
        <v>Not</v>
      </c>
      <c r="J12" s="37" t="str">
        <f>IFERROR(INDEX([2]Sheet1!L:L, MATCH(C12, [2]Sheet1!$A:$A, 0)), "Not")</f>
        <v>Not</v>
      </c>
      <c r="K12" s="38">
        <v>0</v>
      </c>
      <c r="L12" s="36" t="str">
        <f>IFERROR(INDEX([2]Sheet1!M:M, MATCH(C12, [2]Sheet1!$A:$A, 0)), "Not")</f>
        <v>Not</v>
      </c>
      <c r="M12" s="36" t="str">
        <f>IFERROR(INDEX([2]Sheet1!N:N, MATCH(C12, [2]Sheet1!$A:$A, 0)), "Not")</f>
        <v>Not</v>
      </c>
      <c r="N12" s="38">
        <v>0</v>
      </c>
    </row>
    <row r="13" spans="2:14" ht="16.5" x14ac:dyDescent="0.25">
      <c r="B13" s="32">
        <v>3</v>
      </c>
      <c r="C13" s="39">
        <v>5634</v>
      </c>
      <c r="D13" s="34">
        <f>IFERROR(INDEX([1]KCC1!D:D, MATCH(C13, [1]KCC1!$C:$C, 0)), "Not")</f>
        <v>1338</v>
      </c>
      <c r="E13" s="34">
        <f>IFERROR(INDEX([1]KCC1!E:E, MATCH(C13, [1]KCC1!$C:$C, 0)), "Not")</f>
        <v>103055</v>
      </c>
      <c r="F13" s="34" t="str">
        <f>IFERROR(INDEX([1]KCC1!F:F, MATCH(C13, [1]KCC1!$C:$C, 0)), "Not")</f>
        <v>M</v>
      </c>
      <c r="G13" s="35" t="str">
        <f>IFERROR(INDEX([1]KCC1!G:G, MATCH(C13, [1]KCC1!$C:$C, 0)), "Not")</f>
        <v>KUNf];thp</v>
      </c>
      <c r="H13" s="36" t="str">
        <f>IFERROR(INDEX([2]Sheet1!F:F, MATCH(C13, [2]Sheet1!$A:$A, 0)), "Not")</f>
        <v>Not</v>
      </c>
      <c r="I13" s="36" t="str">
        <f>IFERROR(INDEX([2]Sheet1!I:I, MATCH(C13, [2]Sheet1!$A:$A, 0)), "Not")</f>
        <v>Not</v>
      </c>
      <c r="J13" s="37" t="str">
        <f>IFERROR(INDEX([2]Sheet1!L:L, MATCH(C13, [2]Sheet1!$A:$A, 0)), "Not")</f>
        <v>Not</v>
      </c>
      <c r="K13" s="38">
        <v>0</v>
      </c>
      <c r="L13" s="36" t="str">
        <f>IFERROR(INDEX([2]Sheet1!M:M, MATCH(C13, [2]Sheet1!$A:$A, 0)), "Not")</f>
        <v>Not</v>
      </c>
      <c r="M13" s="36" t="str">
        <f>IFERROR(INDEX([2]Sheet1!N:N, MATCH(C13, [2]Sheet1!$A:$A, 0)), "Not")</f>
        <v>Not</v>
      </c>
      <c r="N13" s="38">
        <v>0</v>
      </c>
    </row>
    <row r="14" spans="2:14" ht="16.5" x14ac:dyDescent="0.25">
      <c r="B14" s="40"/>
      <c r="C14" s="41"/>
      <c r="D14" s="40"/>
      <c r="E14" s="40"/>
      <c r="F14" s="42"/>
      <c r="G14" s="43"/>
      <c r="H14" s="44"/>
      <c r="I14" s="44"/>
      <c r="J14" s="45"/>
      <c r="K14" s="46"/>
      <c r="L14" s="44"/>
      <c r="M14" s="44"/>
      <c r="N14" s="47">
        <f>SUM(N11:N13)</f>
        <v>0</v>
      </c>
    </row>
    <row r="15" spans="2:14" ht="15.75" x14ac:dyDescent="0.25">
      <c r="B15" s="48"/>
      <c r="C15" s="49"/>
      <c r="D15" s="49"/>
      <c r="E15" s="49"/>
      <c r="F15" s="50"/>
      <c r="G15" s="49"/>
      <c r="N15" s="51"/>
    </row>
  </sheetData>
  <mergeCells count="13">
    <mergeCell ref="M9:M10"/>
    <mergeCell ref="N9:N10"/>
    <mergeCell ref="F10:G10"/>
    <mergeCell ref="B3:H7"/>
    <mergeCell ref="K3:L7"/>
    <mergeCell ref="B8:M8"/>
    <mergeCell ref="B9:B10"/>
    <mergeCell ref="C9:G9"/>
    <mergeCell ref="H9:H10"/>
    <mergeCell ref="I9:I10"/>
    <mergeCell ref="J9:J10"/>
    <mergeCell ref="K9:K10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2026-07-17T12:19:15Z</dcterms:created>
  <dcterms:modified xsi:type="dcterms:W3CDTF">2026-07-17T12:20:54Z</dcterms:modified>
</cp:coreProperties>
</file>