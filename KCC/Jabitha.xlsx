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KCC\"/>
    </mc:Choice>
  </mc:AlternateContent>
  <xr:revisionPtr revIDLastSave="0" documentId="13_ncr:1_{2F7E4D86-7923-43C7-81D4-206AA9F78A88}" xr6:coauthVersionLast="47" xr6:coauthVersionMax="47" xr10:uidLastSave="{00000000-0000-0000-0000-000000000000}"/>
  <bookViews>
    <workbookView xWindow="-120" yWindow="-120" windowWidth="20730" windowHeight="11040" xr2:uid="{AD726EB9-7A31-42D8-81FA-99B1C240464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6" i="1" l="1"/>
  <c r="N6" i="1"/>
  <c r="M6" i="1"/>
  <c r="L6" i="1"/>
  <c r="K6" i="1"/>
  <c r="J6" i="1"/>
  <c r="I6" i="1"/>
  <c r="H6" i="1"/>
  <c r="H7" i="1" s="1"/>
  <c r="G6" i="1"/>
  <c r="F6" i="1"/>
  <c r="E6" i="1"/>
  <c r="D6" i="1"/>
  <c r="C6" i="1"/>
  <c r="O5" i="1"/>
  <c r="N5" i="1"/>
  <c r="M5" i="1"/>
  <c r="L5" i="1"/>
  <c r="K5" i="1"/>
  <c r="J5" i="1"/>
  <c r="I5" i="1"/>
  <c r="H5" i="1"/>
  <c r="G5" i="1"/>
  <c r="F5" i="1"/>
  <c r="E5" i="1"/>
  <c r="D5" i="1"/>
  <c r="C5" i="1"/>
  <c r="O4" i="1"/>
  <c r="O7" i="1" s="1"/>
  <c r="N4" i="1"/>
  <c r="N7" i="1" s="1"/>
  <c r="M4" i="1"/>
  <c r="M7" i="1" s="1"/>
  <c r="L4" i="1"/>
  <c r="L7" i="1" s="1"/>
  <c r="K4" i="1"/>
  <c r="K7" i="1" s="1"/>
  <c r="J4" i="1"/>
  <c r="J7" i="1" s="1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<sst xmlns="http://schemas.openxmlformats.org/spreadsheetml/2006/main" count="19" uniqueCount="19">
  <si>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Times New Roman"/>
        <family val="1"/>
      </rPr>
      <t>T.U.</t>
    </r>
    <r>
      <rPr>
        <b/>
        <sz val="11"/>
        <color theme="1"/>
        <rFont val="Bamini"/>
        <family val="2"/>
      </rPr>
      <t>3 Njthuk; njhlf;f Ntshz;ik $l;LwT fld; rq;fk;  Njthuk;</t>
    </r>
  </si>
  <si>
    <t>[hgpjh tpguk;</t>
  </si>
  <si>
    <r>
      <t xml:space="preserve">k.tq;fp </t>
    </r>
    <r>
      <rPr>
        <b/>
        <sz val="14"/>
        <color theme="1"/>
        <rFont val="Times New Roman"/>
        <family val="1"/>
      </rPr>
      <t>RCL No: 107/25-26/P1  Dt:15.04.2026</t>
    </r>
  </si>
  <si>
    <t>gl;Lthhlh Njjp :  01.06.2026</t>
  </si>
  <si>
    <t>t.vz;</t>
  </si>
  <si>
    <t>m.vz;</t>
  </si>
  <si>
    <t>SB</t>
  </si>
  <si>
    <t>ERP</t>
  </si>
  <si>
    <t>ngaH</t>
  </si>
  <si>
    <t>rHNt vz;</t>
  </si>
  <si>
    <t>gug;GV.nr</t>
  </si>
  <si>
    <t>gapH</t>
  </si>
  <si>
    <t>tpijgFjp</t>
  </si>
  <si>
    <r>
      <t>,urhad cuk; 50</t>
    </r>
    <r>
      <rPr>
        <b/>
        <sz val="11"/>
        <color theme="1"/>
        <rFont val="Times New Roman"/>
        <family val="1"/>
      </rPr>
      <t>%</t>
    </r>
  </si>
  <si>
    <r>
      <t>njhOcuk;50</t>
    </r>
    <r>
      <rPr>
        <b/>
        <sz val="11"/>
        <color theme="1"/>
        <rFont val="Times New Roman"/>
        <family val="1"/>
      </rPr>
      <t>%</t>
    </r>
  </si>
  <si>
    <t>G+r;rp kUe;J</t>
  </si>
  <si>
    <t xml:space="preserve">nuhf;fk; </t>
  </si>
  <si>
    <t>nkhj;jk;</t>
  </si>
  <si>
    <t>ifnahg;gk;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</si>
</sst>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Bamini"/>
      <family val="1"/>
    </font>
    <font>
      <b/>
      <sz val="11"/>
      <color theme="1"/>
      <name val="Times New Roman"/>
      <family val="1"/>
    </font>
    <font>
      <b/>
      <sz val="11"/>
      <color theme="1"/>
      <name val="Bamini"/>
      <family val="2"/>
    </font>
    <font>
      <b/>
      <sz val="16"/>
      <color theme="1"/>
      <name val="Bamini"/>
      <family val="2"/>
    </font>
    <font>
      <b/>
      <sz val="14"/>
      <color theme="1"/>
      <name val="Bamini"/>
      <family val="2"/>
    </font>
    <font>
      <b/>
      <sz val="14"/>
      <color theme="1"/>
      <name val="Times New Roman"/>
      <family val="1"/>
    </font>
    <font>
      <sz val="12"/>
      <color theme="1"/>
      <name val="Bamini"/>
      <family val="2"/>
    </font>
    <font>
      <b/>
      <sz val="12"/>
      <color theme="1"/>
      <name val="Bamini"/>
      <family val="2"/>
    </font>
    <font>
      <sz val="11"/>
      <color theme="1"/>
      <name val="Bamin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2" fontId="10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d%202.xlsx" TargetMode="External"/><Relationship Id="rId2" Type="http://schemas.openxmlformats.org/officeDocument/2006/relationships/externalLinkPath" Target="file:///C:\Users\ELCOT\Desktop\Pad%202.xlsx" TargetMode="External"/><Relationship Id="rId1" Type="http://schemas.openxmlformats.org/officeDocument/2006/relationships/externalLinkPath" Target="/Users/ELCOT/Desktop/Pad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CC1"/>
      <sheetName val="KCC2"/>
      <sheetName val="Corp"/>
      <sheetName val="INS"/>
      <sheetName val="Front"/>
      <sheetName val="Note order"/>
      <sheetName val="Jabitha"/>
      <sheetName val="Sign"/>
    </sheetNames>
    <sheetDataSet>
      <sheetData sheetId="0">
        <row r="3">
          <cell r="K3" t="str">
            <v>KCC1y; jw;NghJ gl;Lthlh NfhUk; njhif</v>
          </cell>
          <cell r="R3">
            <v>263000</v>
          </cell>
        </row>
        <row r="4">
          <cell r="C4" t="str">
            <v>m.vz;</v>
          </cell>
          <cell r="D4" t="str">
            <v>SB</v>
          </cell>
          <cell r="E4" t="str">
            <v>ERP</v>
          </cell>
          <cell r="F4" t="str">
            <v>ngaH</v>
          </cell>
          <cell r="K4" t="str">
            <v>rHNt vz;</v>
          </cell>
          <cell r="L4" t="str">
            <v>gug;GV.nr</v>
          </cell>
          <cell r="M4" t="str">
            <v>gapH</v>
          </cell>
          <cell r="N4" t="str">
            <v>tpijgFjp</v>
          </cell>
          <cell r="O4" t="str">
            <v>,urhad cuk; 50%</v>
          </cell>
          <cell r="P4" t="str">
            <v>njhOcuk; 50%</v>
          </cell>
          <cell r="Q4" t="str">
            <v>G+r;rp kUe;J</v>
          </cell>
          <cell r="R4" t="str">
            <v xml:space="preserve">nuhf;fk; </v>
          </cell>
          <cell r="S4" t="str">
            <v>nkhj;jk;</v>
          </cell>
        </row>
        <row r="5">
          <cell r="C5">
            <v>5178</v>
          </cell>
          <cell r="D5">
            <v>842</v>
          </cell>
          <cell r="E5">
            <v>102596</v>
          </cell>
          <cell r="F5" t="str">
            <v>P</v>
          </cell>
          <cell r="G5" t="str">
            <v>Kj;Jtp[ad;</v>
          </cell>
          <cell r="K5" t="str">
            <v>34/4</v>
          </cell>
          <cell r="L5">
            <v>0.85</v>
          </cell>
          <cell r="M5" t="str">
            <v>Vyk;</v>
          </cell>
          <cell r="N5">
            <v>0</v>
          </cell>
          <cell r="O5">
            <v>4505</v>
          </cell>
          <cell r="P5">
            <v>4505</v>
          </cell>
          <cell r="Q5">
            <v>3867</v>
          </cell>
          <cell r="R5">
            <v>45123</v>
          </cell>
          <cell r="S5">
            <v>58000</v>
          </cell>
        </row>
        <row r="6">
          <cell r="C6">
            <v>5595</v>
          </cell>
          <cell r="D6">
            <v>1264</v>
          </cell>
          <cell r="E6">
            <v>103013</v>
          </cell>
          <cell r="F6" t="str">
            <v>K</v>
          </cell>
          <cell r="G6" t="str">
            <v>Njtpfh uhzp</v>
          </cell>
          <cell r="K6" t="str">
            <v>20/2--2</v>
          </cell>
          <cell r="L6">
            <v>2</v>
          </cell>
          <cell r="M6" t="str">
            <v>Vyk;</v>
          </cell>
          <cell r="N6">
            <v>0</v>
          </cell>
          <cell r="O6">
            <v>8480</v>
          </cell>
          <cell r="P6">
            <v>8480</v>
          </cell>
          <cell r="Q6">
            <v>7280</v>
          </cell>
          <cell r="R6">
            <v>84760</v>
          </cell>
          <cell r="S6">
            <v>109000</v>
          </cell>
        </row>
        <row r="7">
          <cell r="C7">
            <v>5634</v>
          </cell>
          <cell r="D7">
            <v>1338</v>
          </cell>
          <cell r="E7">
            <v>103055</v>
          </cell>
          <cell r="F7" t="str">
            <v>M</v>
          </cell>
          <cell r="G7" t="str">
            <v>KUNf];thp</v>
          </cell>
          <cell r="K7" t="str">
            <v>781/2B</v>
          </cell>
          <cell r="L7">
            <v>2.2999999999999998</v>
          </cell>
          <cell r="M7" t="str">
            <v>njd;id</v>
          </cell>
          <cell r="N7">
            <v>0</v>
          </cell>
          <cell r="O7">
            <v>5233</v>
          </cell>
          <cell r="P7">
            <v>5232</v>
          </cell>
          <cell r="Q7">
            <v>5290</v>
          </cell>
          <cell r="R7">
            <v>80245</v>
          </cell>
          <cell r="S7">
            <v>96000</v>
          </cell>
        </row>
        <row r="8">
          <cell r="K8" t="str">
            <v xml:space="preserve"> </v>
          </cell>
          <cell r="L8">
            <v>5.15</v>
          </cell>
          <cell r="N8">
            <v>0</v>
          </cell>
          <cell r="O8">
            <v>18218</v>
          </cell>
          <cell r="P8">
            <v>18217</v>
          </cell>
          <cell r="Q8">
            <v>16437</v>
          </cell>
          <cell r="R8">
            <v>210128</v>
          </cell>
          <cell r="S8">
            <v>263000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068C-FBF5-419B-98A3-1A7797A1E2E9}">
  <dimension ref="A1:T46"/>
  <sheetViews>
    <sheetView tabSelected="1" workbookViewId="0">
      <selection sqref="A1:XFD1048576"/>
    </sheetView>
  </sheetViews>
  <sheetFormatPr defaultRowHeight="15" x14ac:dyDescent="0.25"/>
  <cols>
    <col min="1" max="1" width="7.140625" style="1" bestFit="1" customWidth="1"/>
    <col min="2" max="2" width="7.42578125" style="1" bestFit="1" customWidth="1"/>
    <col min="3" max="3" width="6.7109375" style="1" bestFit="1" customWidth="1"/>
    <col min="4" max="4" width="7" style="1" bestFit="1" customWidth="1"/>
    <col min="5" max="5" width="6.7109375" style="1" customWidth="1"/>
    <col min="6" max="6" width="13.140625" style="6" bestFit="1" customWidth="1"/>
    <col min="7" max="7" width="12.140625" style="6" bestFit="1" customWidth="1"/>
    <col min="8" max="8" width="6.140625" style="6" bestFit="1" customWidth="1"/>
    <col min="9" max="9" width="8.85546875" style="6" bestFit="1" customWidth="1"/>
    <col min="10" max="10" width="6.5703125" style="6" customWidth="1"/>
    <col min="11" max="11" width="10.140625" style="6" bestFit="1" customWidth="1"/>
    <col min="12" max="12" width="7.7109375" style="6" bestFit="1" customWidth="1"/>
    <col min="13" max="13" width="7.42578125" style="6" bestFit="1" customWidth="1"/>
    <col min="14" max="14" width="10.42578125" style="6" bestFit="1" customWidth="1"/>
    <col min="15" max="15" width="9.7109375" style="6" bestFit="1" customWidth="1"/>
    <col min="16" max="16" width="24.85546875" style="6" customWidth="1"/>
    <col min="17" max="16384" width="9.140625" style="6"/>
  </cols>
  <sheetData>
    <row r="1" spans="1:20" ht="24.75" customHeight="1" x14ac:dyDescent="0.25">
      <c r="B1" s="2"/>
      <c r="C1" s="2"/>
      <c r="D1" s="2"/>
      <c r="E1" s="2"/>
      <c r="F1" s="3" t="s">
        <v>0</v>
      </c>
      <c r="G1" s="4"/>
      <c r="H1" s="4"/>
      <c r="I1" s="4"/>
      <c r="J1" s="4"/>
      <c r="K1" s="4"/>
      <c r="L1" s="4"/>
      <c r="M1" s="4"/>
      <c r="N1" s="5"/>
      <c r="O1" s="2"/>
      <c r="P1" s="2"/>
    </row>
    <row r="2" spans="1:20" s="15" customFormat="1" ht="42" customHeight="1" x14ac:dyDescent="0.25">
      <c r="A2" s="7" t="s">
        <v>1</v>
      </c>
      <c r="B2" s="8"/>
      <c r="C2" s="8"/>
      <c r="D2" s="9"/>
      <c r="E2" s="10" t="s">
        <v>2</v>
      </c>
      <c r="F2" s="11"/>
      <c r="G2" s="12"/>
      <c r="H2" s="12"/>
      <c r="I2" s="12"/>
      <c r="J2" s="12"/>
      <c r="K2" s="12"/>
      <c r="L2" s="13"/>
      <c r="M2" s="10" t="s">
        <v>3</v>
      </c>
      <c r="N2" s="11"/>
      <c r="O2" s="11"/>
      <c r="P2" s="14"/>
    </row>
    <row r="3" spans="1:20" s="23" customFormat="1" ht="49.5" customHeight="1" x14ac:dyDescent="0.25">
      <c r="A3" s="16" t="s">
        <v>4</v>
      </c>
      <c r="B3" s="16" t="s">
        <v>5</v>
      </c>
      <c r="C3" s="17" t="s">
        <v>6</v>
      </c>
      <c r="D3" s="18" t="s">
        <v>7</v>
      </c>
      <c r="E3" s="19" t="s">
        <v>8</v>
      </c>
      <c r="F3" s="20"/>
      <c r="G3" s="16" t="s">
        <v>9</v>
      </c>
      <c r="H3" s="21" t="s">
        <v>10</v>
      </c>
      <c r="I3" s="16" t="s">
        <v>11</v>
      </c>
      <c r="J3" s="21" t="s">
        <v>12</v>
      </c>
      <c r="K3" s="21" t="s">
        <v>13</v>
      </c>
      <c r="L3" s="21" t="s">
        <v>14</v>
      </c>
      <c r="M3" s="21" t="s">
        <v>15</v>
      </c>
      <c r="N3" s="16" t="s">
        <v>16</v>
      </c>
      <c r="O3" s="16" t="s">
        <v>17</v>
      </c>
      <c r="P3" s="22" t="s">
        <v>18</v>
      </c>
    </row>
    <row r="4" spans="1:20" s="23" customFormat="1" ht="30" customHeight="1" x14ac:dyDescent="0.25">
      <c r="A4" s="24">
        <v>1</v>
      </c>
      <c r="B4" s="25">
        <v>5178</v>
      </c>
      <c r="C4" s="26">
        <f>IFERROR(INDEX([1]KCC1!D:D, MATCH(B4, [1]KCC1!$C:$C, 0)), "Not")</f>
        <v>842</v>
      </c>
      <c r="D4" s="26">
        <f>IFERROR(INDEX([1]KCC1!E:E, MATCH(B4, [1]KCC1!$C:$C, 0)), "Not")</f>
        <v>102596</v>
      </c>
      <c r="E4" s="26" t="str">
        <f>IFERROR(INDEX([1]KCC1!F:F, MATCH(B4, [1]KCC1!$C:$C, 0)), "Not")</f>
        <v>P</v>
      </c>
      <c r="F4" s="24" t="str">
        <f>IFERROR(INDEX([1]KCC1!G:G, MATCH(B4, [1]KCC1!$C:$C, 0)), "Not")</f>
        <v>Kj;Jtp[ad;</v>
      </c>
      <c r="G4" s="26" t="str">
        <f>IFERROR(INDEX([1]KCC1!K:K, MATCH(B4, [1]KCC1!$C:$C, 0)), "Not")</f>
        <v>34/4</v>
      </c>
      <c r="H4" s="27">
        <f>IFERROR(INDEX([1]KCC1!L:L, MATCH(B4, [1]KCC1!$C:$C, 0)), "Not")</f>
        <v>0.85</v>
      </c>
      <c r="I4" s="24" t="str">
        <f>IFERROR(INDEX([1]KCC1!M:M, MATCH(B4, [1]KCC1!$C:$C, 0)), "Not")</f>
        <v>Vyk;</v>
      </c>
      <c r="J4" s="28">
        <f>IFERROR(INDEX([1]KCC1!N:N, MATCH(B4, [1]KCC1!$C:$C, 0)), "Not")</f>
        <v>0</v>
      </c>
      <c r="K4" s="29">
        <f>IFERROR(INDEX([1]KCC1!O:O, MATCH(B4, [1]KCC1!$C:$C, 0)), "Not")</f>
        <v>4505</v>
      </c>
      <c r="L4" s="29">
        <f>IFERROR(INDEX([1]KCC1!P:P, MATCH(B4, [1]KCC1!$C:$C, 0)), "Not")</f>
        <v>4505</v>
      </c>
      <c r="M4" s="29">
        <f>IFERROR(INDEX([1]KCC1!Q:Q, MATCH(B4, [1]KCC1!$C:$C, 0)), "Not")</f>
        <v>3867</v>
      </c>
      <c r="N4" s="29">
        <f>IFERROR(INDEX([1]KCC1!R:R, MATCH(B4, [1]KCC1!$C:$C, 0)), "Not")</f>
        <v>45123</v>
      </c>
      <c r="O4" s="29">
        <f>IFERROR(INDEX([1]KCC1!S:S, MATCH(B4, [1]KCC1!$C:$C, 0)), "Not")</f>
        <v>58000</v>
      </c>
      <c r="P4" s="30"/>
      <c r="Q4" s="31"/>
      <c r="R4" s="31"/>
      <c r="S4" s="31"/>
      <c r="T4" s="31"/>
    </row>
    <row r="5" spans="1:20" s="23" customFormat="1" ht="30" customHeight="1" x14ac:dyDescent="0.25">
      <c r="A5" s="24">
        <v>2</v>
      </c>
      <c r="B5" s="25">
        <v>5595</v>
      </c>
      <c r="C5" s="26">
        <f>IFERROR(INDEX([1]KCC1!D:D, MATCH(B5, [1]KCC1!$C:$C, 0)), "Not")</f>
        <v>1264</v>
      </c>
      <c r="D5" s="26">
        <f>IFERROR(INDEX([1]KCC1!E:E, MATCH(B5, [1]KCC1!$C:$C, 0)), "Not")</f>
        <v>103013</v>
      </c>
      <c r="E5" s="26" t="str">
        <f>IFERROR(INDEX([1]KCC1!F:F, MATCH(B5, [1]KCC1!$C:$C, 0)), "Not")</f>
        <v>K</v>
      </c>
      <c r="F5" s="24" t="str">
        <f>IFERROR(INDEX([1]KCC1!G:G, MATCH(B5, [1]KCC1!$C:$C, 0)), "Not")</f>
        <v>Njtpfh uhzp</v>
      </c>
      <c r="G5" s="26" t="str">
        <f>IFERROR(INDEX([1]KCC1!K:K, MATCH(B5, [1]KCC1!$C:$C, 0)), "Not")</f>
        <v>20/2--2</v>
      </c>
      <c r="H5" s="27">
        <f>IFERROR(INDEX([1]KCC1!L:L, MATCH(B5, [1]KCC1!$C:$C, 0)), "Not")</f>
        <v>2</v>
      </c>
      <c r="I5" s="24" t="str">
        <f>IFERROR(INDEX([1]KCC1!M:M, MATCH(B5, [1]KCC1!$C:$C, 0)), "Not")</f>
        <v>Vyk;</v>
      </c>
      <c r="J5" s="28">
        <f>IFERROR(INDEX([1]KCC1!N:N, MATCH(B5, [1]KCC1!$C:$C, 0)), "Not")</f>
        <v>0</v>
      </c>
      <c r="K5" s="29">
        <f>IFERROR(INDEX([1]KCC1!O:O, MATCH(B5, [1]KCC1!$C:$C, 0)), "Not")</f>
        <v>8480</v>
      </c>
      <c r="L5" s="29">
        <f>IFERROR(INDEX([1]KCC1!P:P, MATCH(B5, [1]KCC1!$C:$C, 0)), "Not")</f>
        <v>8480</v>
      </c>
      <c r="M5" s="29">
        <f>IFERROR(INDEX([1]KCC1!Q:Q, MATCH(B5, [1]KCC1!$C:$C, 0)), "Not")</f>
        <v>7280</v>
      </c>
      <c r="N5" s="29">
        <f>IFERROR(INDEX([1]KCC1!R:R, MATCH(B5, [1]KCC1!$C:$C, 0)), "Not")</f>
        <v>84760</v>
      </c>
      <c r="O5" s="29">
        <f>IFERROR(INDEX([1]KCC1!S:S, MATCH(B5, [1]KCC1!$C:$C, 0)), "Not")</f>
        <v>109000</v>
      </c>
      <c r="P5" s="30"/>
      <c r="Q5" s="31"/>
      <c r="R5" s="31"/>
      <c r="S5" s="31"/>
      <c r="T5" s="31"/>
    </row>
    <row r="6" spans="1:20" s="23" customFormat="1" ht="30" customHeight="1" x14ac:dyDescent="0.25">
      <c r="A6" s="24">
        <v>3</v>
      </c>
      <c r="B6" s="32">
        <v>5634</v>
      </c>
      <c r="C6" s="26">
        <f>IFERROR(INDEX([1]KCC1!D:D, MATCH(B6, [1]KCC1!$C:$C, 0)), "Not")</f>
        <v>1338</v>
      </c>
      <c r="D6" s="26">
        <f>IFERROR(INDEX([1]KCC1!E:E, MATCH(B6, [1]KCC1!$C:$C, 0)), "Not")</f>
        <v>103055</v>
      </c>
      <c r="E6" s="26" t="str">
        <f>IFERROR(INDEX([1]KCC1!F:F, MATCH(B6, [1]KCC1!$C:$C, 0)), "Not")</f>
        <v>M</v>
      </c>
      <c r="F6" s="24" t="str">
        <f>IFERROR(INDEX([1]KCC1!G:G, MATCH(B6, [1]KCC1!$C:$C, 0)), "Not")</f>
        <v>KUNf];thp</v>
      </c>
      <c r="G6" s="26" t="str">
        <f>IFERROR(INDEX([1]KCC1!K:K, MATCH(B6, [1]KCC1!$C:$C, 0)), "Not")</f>
        <v>781/2B</v>
      </c>
      <c r="H6" s="27">
        <f>IFERROR(INDEX([1]KCC1!L:L, MATCH(B6, [1]KCC1!$C:$C, 0)), "Not")</f>
        <v>2.2999999999999998</v>
      </c>
      <c r="I6" s="24" t="str">
        <f>IFERROR(INDEX([1]KCC1!M:M, MATCH(B6, [1]KCC1!$C:$C, 0)), "Not")</f>
        <v>njd;id</v>
      </c>
      <c r="J6" s="28">
        <f>IFERROR(INDEX([1]KCC1!N:N, MATCH(B6, [1]KCC1!$C:$C, 0)), "Not")</f>
        <v>0</v>
      </c>
      <c r="K6" s="29">
        <f>IFERROR(INDEX([1]KCC1!O:O, MATCH(B6, [1]KCC1!$C:$C, 0)), "Not")</f>
        <v>5233</v>
      </c>
      <c r="L6" s="29">
        <f>IFERROR(INDEX([1]KCC1!P:P, MATCH(B6, [1]KCC1!$C:$C, 0)), "Not")</f>
        <v>5232</v>
      </c>
      <c r="M6" s="29">
        <f>IFERROR(INDEX([1]KCC1!Q:Q, MATCH(B6, [1]KCC1!$C:$C, 0)), "Not")</f>
        <v>5290</v>
      </c>
      <c r="N6" s="29">
        <f>IFERROR(INDEX([1]KCC1!R:R, MATCH(B6, [1]KCC1!$C:$C, 0)), "Not")</f>
        <v>80245</v>
      </c>
      <c r="O6" s="29">
        <f>IFERROR(INDEX([1]KCC1!S:S, MATCH(B6, [1]KCC1!$C:$C, 0)), "Not")</f>
        <v>96000</v>
      </c>
      <c r="P6" s="30"/>
      <c r="Q6" s="31"/>
      <c r="R6" s="31"/>
      <c r="S6" s="31"/>
      <c r="T6" s="31"/>
    </row>
    <row r="7" spans="1:20" ht="33" customHeight="1" x14ac:dyDescent="0.25">
      <c r="A7" s="33"/>
      <c r="B7" s="33"/>
      <c r="C7" s="33"/>
      <c r="D7" s="33"/>
      <c r="E7" s="33"/>
      <c r="F7" s="33"/>
      <c r="G7" s="26"/>
      <c r="H7" s="34">
        <f>SUM(H4:H6)</f>
        <v>5.15</v>
      </c>
      <c r="I7" s="35"/>
      <c r="J7" s="17">
        <f t="shared" ref="J7:O7" si="0">SUM(J4:J6)</f>
        <v>0</v>
      </c>
      <c r="K7" s="17">
        <f t="shared" si="0"/>
        <v>18218</v>
      </c>
      <c r="L7" s="17">
        <f t="shared" si="0"/>
        <v>18217</v>
      </c>
      <c r="M7" s="17">
        <f t="shared" si="0"/>
        <v>16437</v>
      </c>
      <c r="N7" s="17">
        <f t="shared" si="0"/>
        <v>210128</v>
      </c>
      <c r="O7" s="17">
        <f t="shared" si="0"/>
        <v>263000</v>
      </c>
    </row>
    <row r="8" spans="1:20" ht="33" customHeight="1" x14ac:dyDescent="0.25">
      <c r="A8" s="6"/>
      <c r="B8" s="6"/>
      <c r="C8" s="6"/>
      <c r="D8" s="6"/>
      <c r="E8" s="6"/>
      <c r="J8"/>
      <c r="K8"/>
      <c r="L8"/>
      <c r="M8"/>
      <c r="N8"/>
      <c r="O8"/>
    </row>
    <row r="9" spans="1:20" ht="33" customHeight="1" x14ac:dyDescent="0.25"/>
    <row r="11" spans="1:20" ht="15.75" customHeight="1" x14ac:dyDescent="0.25">
      <c r="F11" s="36"/>
      <c r="G11" s="37"/>
      <c r="H11" s="38"/>
      <c r="I11" s="38"/>
      <c r="J11" s="38"/>
      <c r="K11" s="38"/>
      <c r="L11" s="38"/>
    </row>
    <row r="12" spans="1:20" ht="15.75" x14ac:dyDescent="0.25">
      <c r="F12" s="36"/>
      <c r="G12" s="38"/>
      <c r="H12" s="38"/>
      <c r="I12" s="38"/>
      <c r="J12" s="38"/>
      <c r="K12" s="38"/>
      <c r="L12" s="38"/>
    </row>
    <row r="13" spans="1:20" ht="15.75" x14ac:dyDescent="0.25">
      <c r="F13" s="36"/>
      <c r="G13" s="38"/>
      <c r="H13" s="38"/>
      <c r="I13" s="38"/>
      <c r="J13" s="38"/>
      <c r="K13" s="38"/>
      <c r="L13" s="38"/>
    </row>
    <row r="14" spans="1:20" ht="15.75" x14ac:dyDescent="0.25">
      <c r="F14" s="36"/>
      <c r="G14" s="38"/>
      <c r="H14" s="38"/>
      <c r="I14" s="38"/>
      <c r="J14" s="38"/>
      <c r="K14" s="38"/>
      <c r="L14" s="38"/>
    </row>
    <row r="15" spans="1:20" ht="15.75" x14ac:dyDescent="0.25">
      <c r="F15" s="36"/>
      <c r="G15" s="1"/>
      <c r="H15" s="1"/>
      <c r="I15" s="1"/>
      <c r="J15" s="1"/>
      <c r="K15" s="1"/>
      <c r="L15" s="39"/>
    </row>
    <row r="17" spans="14:15" ht="15.75" x14ac:dyDescent="0.25">
      <c r="N17" s="23"/>
      <c r="O17" s="23"/>
    </row>
    <row r="18" spans="14:15" ht="15.75" x14ac:dyDescent="0.25">
      <c r="N18" s="23"/>
      <c r="O18" s="23"/>
    </row>
    <row r="19" spans="14:15" ht="15.75" x14ac:dyDescent="0.25">
      <c r="N19" s="23"/>
      <c r="O19" s="23"/>
    </row>
    <row r="20" spans="14:15" ht="15.75" x14ac:dyDescent="0.25">
      <c r="N20" s="23"/>
      <c r="O20" s="23"/>
    </row>
    <row r="21" spans="14:15" ht="15.75" x14ac:dyDescent="0.25">
      <c r="N21" s="23"/>
      <c r="O21" s="23"/>
    </row>
    <row r="22" spans="14:15" ht="15.75" x14ac:dyDescent="0.25">
      <c r="N22" s="23"/>
      <c r="O22" s="23"/>
    </row>
    <row r="23" spans="14:15" ht="27.75" customHeight="1" x14ac:dyDescent="0.25">
      <c r="N23" s="15"/>
      <c r="O23" s="15"/>
    </row>
    <row r="24" spans="14:15" ht="15.75" x14ac:dyDescent="0.25">
      <c r="N24" s="15"/>
      <c r="O24" s="15"/>
    </row>
    <row r="25" spans="14:15" ht="15.75" customHeight="1" x14ac:dyDescent="0.25"/>
    <row r="38" spans="1:15" ht="15.75" x14ac:dyDescent="0.25">
      <c r="A38" s="23"/>
      <c r="B38" s="23"/>
      <c r="C38" s="23"/>
      <c r="D38" s="23"/>
      <c r="E38" s="23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5.75" x14ac:dyDescent="0.25">
      <c r="A39" s="23"/>
      <c r="B39" s="23"/>
      <c r="C39" s="23"/>
      <c r="D39" s="23"/>
      <c r="E39" s="23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5.75" x14ac:dyDescent="0.25">
      <c r="A40" s="23"/>
      <c r="B40" s="23"/>
      <c r="C40" s="23"/>
      <c r="D40" s="23"/>
      <c r="E40" s="23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5.75" x14ac:dyDescent="0.25">
      <c r="A41" s="23"/>
      <c r="B41" s="23"/>
      <c r="C41" s="23"/>
      <c r="D41" s="23"/>
      <c r="E41" s="23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5.75" x14ac:dyDescent="0.25">
      <c r="A42" s="23"/>
      <c r="B42" s="23"/>
      <c r="C42" s="23"/>
      <c r="D42" s="23"/>
      <c r="E42" s="23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ht="15.75" x14ac:dyDescent="0.25">
      <c r="A43" s="23"/>
      <c r="B43" s="23"/>
      <c r="C43" s="23"/>
      <c r="D43" s="23"/>
      <c r="E43" s="23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15.75" x14ac:dyDescent="0.25">
      <c r="A44" s="23"/>
      <c r="B44" s="23"/>
      <c r="C44" s="23"/>
      <c r="D44" s="23"/>
      <c r="E44" s="23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5.75" x14ac:dyDescent="0.25">
      <c r="A45" s="23"/>
      <c r="B45" s="23"/>
      <c r="C45" s="23"/>
      <c r="D45" s="23"/>
      <c r="E45" s="23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5.75" x14ac:dyDescent="0.25">
      <c r="A46" s="23"/>
      <c r="B46" s="23"/>
      <c r="C46" s="23"/>
      <c r="D46" s="23"/>
      <c r="E46" s="23"/>
      <c r="F46" s="15"/>
      <c r="G46" s="15"/>
      <c r="H46" s="15"/>
      <c r="I46" s="15"/>
      <c r="J46" s="15"/>
      <c r="K46" s="15"/>
      <c r="L46" s="15"/>
      <c r="M46" s="15"/>
      <c r="N46" s="15"/>
      <c r="O46" s="15"/>
    </row>
  </sheetData>
  <mergeCells count="5">
    <mergeCell ref="F1:N1"/>
    <mergeCell ref="A2:D2"/>
    <mergeCell ref="E2:L2"/>
    <mergeCell ref="M2:P2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a49860</dc:creator>
  <cp:lastModifiedBy>a49860</cp:lastModifiedBy>
  <dcterms:created xsi:type="dcterms:W3CDTF">2026-07-17T12:25:51Z</dcterms:created>
  <dcterms:modified xsi:type="dcterms:W3CDTF">2026-07-17T12:28:14Z</dcterms:modified>
</cp:coreProperties>
</file>