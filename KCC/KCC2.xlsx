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KCC\"/>
    </mc:Choice>
  </mc:AlternateContent>
  <xr:revisionPtr revIDLastSave="0" documentId="8_{468BC751-64E4-4BB6-8485-AAAE9C8CCC5C}" xr6:coauthVersionLast="47" xr6:coauthVersionMax="47" xr10:uidLastSave="{00000000-0000-0000-0000-000000000000}"/>
  <bookViews>
    <workbookView xWindow="-120" yWindow="-120" windowWidth="20730" windowHeight="11040" xr2:uid="{9807F23A-D656-428B-9520-43BDEBD0EAC1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8" i="1" l="1"/>
  <c r="R8" i="1"/>
  <c r="Q8" i="1"/>
  <c r="W7" i="1"/>
  <c r="V7" i="1"/>
  <c r="P7" i="1"/>
  <c r="O7" i="1"/>
  <c r="N7" i="1"/>
  <c r="M7" i="1"/>
  <c r="L7" i="1"/>
  <c r="K7" i="1"/>
  <c r="T7" i="1" s="1"/>
  <c r="U7" i="1" s="1"/>
  <c r="J7" i="1"/>
  <c r="I7" i="1"/>
  <c r="H7" i="1"/>
  <c r="G7" i="1"/>
  <c r="F7" i="1"/>
  <c r="E7" i="1"/>
  <c r="D7" i="1"/>
  <c r="C7" i="1"/>
  <c r="W6" i="1"/>
  <c r="V6" i="1"/>
  <c r="P6" i="1"/>
  <c r="O6" i="1"/>
  <c r="U6" i="1" s="1"/>
  <c r="N6" i="1"/>
  <c r="M6" i="1"/>
  <c r="L6" i="1"/>
  <c r="K6" i="1"/>
  <c r="T6" i="1" s="1"/>
  <c r="J6" i="1"/>
  <c r="I6" i="1"/>
  <c r="H6" i="1"/>
  <c r="G6" i="1"/>
  <c r="F6" i="1"/>
  <c r="E6" i="1"/>
  <c r="D6" i="1"/>
  <c r="C6" i="1"/>
  <c r="W5" i="1"/>
  <c r="V5" i="1"/>
  <c r="T5" i="1"/>
  <c r="P5" i="1"/>
  <c r="P8" i="1" s="1"/>
  <c r="O5" i="1"/>
  <c r="O8" i="1" s="1"/>
  <c r="N5" i="1"/>
  <c r="N8" i="1" s="1"/>
  <c r="M5" i="1"/>
  <c r="M8" i="1" s="1"/>
  <c r="L5" i="1"/>
  <c r="L8" i="1" s="1"/>
  <c r="K5" i="1"/>
  <c r="K8" i="1" s="1"/>
  <c r="J5" i="1"/>
  <c r="J8" i="1" s="1"/>
  <c r="I5" i="1"/>
  <c r="H5" i="1"/>
  <c r="H8" i="1" s="1"/>
  <c r="G5" i="1"/>
  <c r="F5" i="1"/>
  <c r="E5" i="1"/>
  <c r="D5" i="1"/>
  <c r="C5" i="1"/>
  <c r="O2" i="1"/>
  <c r="N2" i="1"/>
  <c r="T8" i="1" l="1"/>
  <c r="U5" i="1"/>
  <c r="U8" i="1" s="1"/>
</calcChain>
</file>

<file path=xl/sharedStrings.xml><?xml version="1.0" encoding="utf-8"?>
<sst xmlns="http://schemas.openxmlformats.org/spreadsheetml/2006/main" count="27" uniqueCount="26">
  <si>
    <r>
      <t>T.U</t>
    </r>
    <r>
      <rPr>
        <b/>
        <sz val="18"/>
        <color theme="1"/>
        <rFont val="Bamini"/>
        <family val="2"/>
      </rPr>
      <t>.3 Njthuk; njhlf;f Ntshz;ik $l;LwT fld; rq;fk;  Njthuk;</t>
    </r>
    <r>
      <rPr>
        <b/>
        <sz val="18"/>
        <color theme="1"/>
        <rFont val="Aptos Narrow"/>
        <family val="2"/>
        <scheme val="minor"/>
      </rPr>
      <t xml:space="preserve">
</t>
    </r>
  </si>
  <si>
    <r>
      <rPr>
        <b/>
        <sz val="14"/>
        <color theme="1"/>
        <rFont val="Bamini"/>
        <family val="2"/>
      </rPr>
      <t>kj;jpa tq;fp</t>
    </r>
    <r>
      <rPr>
        <b/>
        <sz val="14"/>
        <color theme="1"/>
        <rFont val="Aptos Narrow"/>
        <family val="2"/>
        <scheme val="minor"/>
      </rPr>
      <t xml:space="preserve"> RCL No: 107/25-26/P1  Dt:15.04.2026</t>
    </r>
  </si>
  <si>
    <t>gl;Lthlh  egh;fs;:</t>
  </si>
  <si>
    <t>gl;Lthlh Njjp :</t>
  </si>
  <si>
    <t xml:space="preserve"> </t>
  </si>
  <si>
    <t>t.vz;</t>
  </si>
  <si>
    <t>m.vz;</t>
  </si>
  <si>
    <t>SB</t>
  </si>
  <si>
    <t>ERP</t>
  </si>
  <si>
    <t>ngah;</t>
  </si>
  <si>
    <t>rh;Nt 
vz;</t>
  </si>
  <si>
    <t>gug;G</t>
  </si>
  <si>
    <t>gaph;</t>
  </si>
  <si>
    <t>tpij
gFjp</t>
  </si>
  <si>
    <t xml:space="preserve">urhad cuk; </t>
  </si>
  <si>
    <t>njhO cuk;</t>
  </si>
  <si>
    <t>G+r;rp kUe;J</t>
  </si>
  <si>
    <t>nuhf;fk;</t>
  </si>
  <si>
    <t>nkhj;jk;</t>
  </si>
  <si>
    <t>CC6</t>
  </si>
  <si>
    <t>Gj;jf
ghuk;</t>
  </si>
  <si>
    <t>fhg;gPL</t>
  </si>
  <si>
    <t>gq;Fnjhif</t>
  </si>
  <si>
    <t>nkhj;jgpbj;jk;</t>
  </si>
  <si>
    <t>epfu gl;L
thlh</t>
  </si>
  <si>
    <t>fzf;Fvz;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</si>
</sst>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theme="1"/>
      <name val="Bamini"/>
      <family val="2"/>
    </font>
    <font>
      <b/>
      <sz val="14"/>
      <color theme="1"/>
      <name val="Aptos Narrow"/>
      <family val="2"/>
      <scheme val="minor"/>
    </font>
    <font>
      <b/>
      <sz val="14"/>
      <color theme="1"/>
      <name val="Bamini"/>
      <family val="2"/>
    </font>
    <font>
      <b/>
      <sz val="14"/>
      <color theme="1"/>
      <name val="Times New Roman"/>
      <family val="1"/>
    </font>
    <font>
      <sz val="12"/>
      <color theme="1"/>
      <name val="Bamini"/>
      <family val="2"/>
    </font>
    <font>
      <b/>
      <sz val="11"/>
      <color theme="1"/>
      <name val="Bamini"/>
      <family val="2"/>
    </font>
    <font>
      <b/>
      <sz val="11"/>
      <color theme="1"/>
      <name val="Times New Roman"/>
      <family val="1"/>
    </font>
    <font>
      <sz val="12"/>
      <color theme="0"/>
      <name val="Times New Roman"/>
      <family val="2"/>
    </font>
    <font>
      <sz val="11"/>
      <color theme="1"/>
      <name val="Times New Roman"/>
      <family val="1"/>
    </font>
    <font>
      <sz val="11"/>
      <color theme="1"/>
      <name val="Bamini"/>
      <family val="2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sz val="13"/>
      <color theme="1"/>
      <name val="Times New Roman"/>
      <family val="2"/>
    </font>
    <font>
      <b/>
      <sz val="12"/>
      <color theme="1"/>
      <name val="Bamin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7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d%202.xlsx" TargetMode="External"/><Relationship Id="rId2" Type="http://schemas.openxmlformats.org/officeDocument/2006/relationships/externalLinkPath" Target="file:///C:\Users\ELCOT\Desktop\Pad%202.xlsx" TargetMode="External"/><Relationship Id="rId1" Type="http://schemas.openxmlformats.org/officeDocument/2006/relationships/externalLinkPath" Target="/Users/ELCOT/Desktop/Pad%2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KCCAH" TargetMode="External"/><Relationship Id="rId1" Type="http://schemas.openxmlformats.org/officeDocument/2006/relationships/externalLinkPath" Target="/KCCAH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CC1"/>
      <sheetName val="KCC2"/>
      <sheetName val="Corp"/>
      <sheetName val="INS"/>
      <sheetName val="Front"/>
      <sheetName val="Note order"/>
      <sheetName val="Jabitha"/>
      <sheetName val="Sign"/>
    </sheetNames>
    <sheetDataSet>
      <sheetData sheetId="0">
        <row r="3">
          <cell r="K3" t="str">
            <v>KCC1y; jw;NghJ gl;Lthlh NfhUk; njhif</v>
          </cell>
          <cell r="R3">
            <v>263000</v>
          </cell>
        </row>
        <row r="4">
          <cell r="C4" t="str">
            <v>m.vz;</v>
          </cell>
          <cell r="D4" t="str">
            <v>SB</v>
          </cell>
          <cell r="E4" t="str">
            <v>ERP</v>
          </cell>
          <cell r="F4" t="str">
            <v>ngaH</v>
          </cell>
          <cell r="K4" t="str">
            <v>rHNt vz;</v>
          </cell>
          <cell r="L4" t="str">
            <v>gug;GV.nr</v>
          </cell>
          <cell r="M4" t="str">
            <v>gapH</v>
          </cell>
          <cell r="N4" t="str">
            <v>tpijgFjp</v>
          </cell>
          <cell r="O4" t="str">
            <v>,urhad cuk; 50%</v>
          </cell>
          <cell r="P4" t="str">
            <v>njhOcuk; 50%</v>
          </cell>
          <cell r="Q4" t="str">
            <v>G+r;rp kUe;J</v>
          </cell>
          <cell r="R4" t="str">
            <v xml:space="preserve">nuhf;fk; </v>
          </cell>
          <cell r="S4" t="str">
            <v>nkhj;jk;</v>
          </cell>
        </row>
        <row r="5">
          <cell r="C5">
            <v>5178</v>
          </cell>
          <cell r="D5">
            <v>842</v>
          </cell>
          <cell r="E5">
            <v>102596</v>
          </cell>
          <cell r="F5" t="str">
            <v>P</v>
          </cell>
          <cell r="G5" t="str">
            <v>Kj;Jtp[ad;</v>
          </cell>
          <cell r="K5" t="str">
            <v>34/4</v>
          </cell>
          <cell r="L5">
            <v>0.85</v>
          </cell>
          <cell r="M5" t="str">
            <v>Vyk;</v>
          </cell>
          <cell r="N5">
            <v>0</v>
          </cell>
          <cell r="O5">
            <v>4505</v>
          </cell>
          <cell r="P5">
            <v>4505</v>
          </cell>
          <cell r="Q5">
            <v>3867</v>
          </cell>
          <cell r="R5">
            <v>45123</v>
          </cell>
          <cell r="S5">
            <v>58000</v>
          </cell>
        </row>
        <row r="6">
          <cell r="C6">
            <v>5595</v>
          </cell>
          <cell r="D6">
            <v>1264</v>
          </cell>
          <cell r="E6">
            <v>103013</v>
          </cell>
          <cell r="F6" t="str">
            <v>K</v>
          </cell>
          <cell r="G6" t="str">
            <v>Njtpfh uhzp</v>
          </cell>
          <cell r="K6" t="str">
            <v>20/2--2</v>
          </cell>
          <cell r="L6">
            <v>2</v>
          </cell>
          <cell r="M6" t="str">
            <v>Vyk;</v>
          </cell>
          <cell r="N6">
            <v>0</v>
          </cell>
          <cell r="O6">
            <v>8480</v>
          </cell>
          <cell r="P6">
            <v>8480</v>
          </cell>
          <cell r="Q6">
            <v>7280</v>
          </cell>
          <cell r="R6">
            <v>84760</v>
          </cell>
          <cell r="S6">
            <v>109000</v>
          </cell>
        </row>
        <row r="7">
          <cell r="C7">
            <v>5634</v>
          </cell>
          <cell r="D7">
            <v>1338</v>
          </cell>
          <cell r="E7">
            <v>103055</v>
          </cell>
          <cell r="F7" t="str">
            <v>M</v>
          </cell>
          <cell r="G7" t="str">
            <v>KUNf];thp</v>
          </cell>
          <cell r="K7" t="str">
            <v>781/2B</v>
          </cell>
          <cell r="L7">
            <v>2.2999999999999998</v>
          </cell>
          <cell r="M7" t="str">
            <v>njd;id</v>
          </cell>
          <cell r="N7">
            <v>0</v>
          </cell>
          <cell r="O7">
            <v>5233</v>
          </cell>
          <cell r="P7">
            <v>5232</v>
          </cell>
          <cell r="Q7">
            <v>5290</v>
          </cell>
          <cell r="R7">
            <v>80245</v>
          </cell>
          <cell r="S7">
            <v>96000</v>
          </cell>
        </row>
        <row r="8">
          <cell r="K8" t="str">
            <v xml:space="preserve"> </v>
          </cell>
          <cell r="L8">
            <v>5.15</v>
          </cell>
          <cell r="N8">
            <v>0</v>
          </cell>
          <cell r="O8">
            <v>18218</v>
          </cell>
          <cell r="P8">
            <v>18217</v>
          </cell>
          <cell r="Q8">
            <v>16437</v>
          </cell>
          <cell r="R8">
            <v>210128</v>
          </cell>
          <cell r="S8">
            <v>263000</v>
          </cell>
        </row>
      </sheetData>
      <sheetData sheetId="1"/>
      <sheetData sheetId="2"/>
      <sheetData sheetId="3">
        <row r="11">
          <cell r="C11">
            <v>5178</v>
          </cell>
        </row>
        <row r="12">
          <cell r="C12">
            <v>5595</v>
          </cell>
        </row>
        <row r="13">
          <cell r="C13">
            <v>5634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KCC1"/>
      <sheetName val="KCC2"/>
      <sheetName val="Corp"/>
      <sheetName val="INS"/>
      <sheetName val="Front"/>
      <sheetName val="Note order"/>
      <sheetName val="Jabitha"/>
      <sheetName val="Sign"/>
    </sheetNames>
    <sheetDataSet>
      <sheetData sheetId="0" refreshError="1">
        <row r="1">
          <cell r="A1" t="str">
            <v>A C</v>
          </cell>
          <cell r="O1" t="str">
            <v>Mdcc</v>
          </cell>
          <cell r="P1" t="str">
            <v>Community</v>
          </cell>
        </row>
        <row r="2">
          <cell r="A2">
            <v>3058</v>
          </cell>
          <cell r="O2">
            <v>804302431</v>
          </cell>
          <cell r="P2" t="str">
            <v>SC</v>
          </cell>
        </row>
        <row r="3">
          <cell r="A3">
            <v>5103</v>
          </cell>
          <cell r="O3">
            <v>809851125</v>
          </cell>
          <cell r="P3" t="str">
            <v>SC</v>
          </cell>
        </row>
        <row r="4">
          <cell r="A4">
            <v>4738</v>
          </cell>
          <cell r="O4">
            <v>806560230</v>
          </cell>
          <cell r="P4" t="str">
            <v>Others</v>
          </cell>
        </row>
        <row r="5">
          <cell r="A5">
            <v>5117</v>
          </cell>
          <cell r="O5">
            <v>806398426</v>
          </cell>
          <cell r="P5" t="str">
            <v>SC</v>
          </cell>
        </row>
        <row r="6">
          <cell r="A6">
            <v>5436</v>
          </cell>
          <cell r="O6">
            <v>811448430</v>
          </cell>
          <cell r="P6" t="str">
            <v>SC</v>
          </cell>
        </row>
        <row r="7">
          <cell r="A7">
            <v>5452</v>
          </cell>
          <cell r="O7">
            <v>812123601</v>
          </cell>
          <cell r="P7" t="str">
            <v>Others</v>
          </cell>
        </row>
        <row r="8">
          <cell r="A8">
            <v>2748</v>
          </cell>
          <cell r="O8">
            <v>813832196</v>
          </cell>
          <cell r="P8" t="str">
            <v>Others</v>
          </cell>
        </row>
        <row r="9">
          <cell r="A9">
            <v>5583</v>
          </cell>
          <cell r="O9">
            <v>813834524</v>
          </cell>
          <cell r="P9" t="str">
            <v>SC</v>
          </cell>
        </row>
        <row r="10">
          <cell r="A10">
            <v>5142</v>
          </cell>
          <cell r="O10">
            <v>811448441</v>
          </cell>
          <cell r="P10" t="str">
            <v>Others</v>
          </cell>
        </row>
        <row r="11">
          <cell r="A11">
            <v>5679</v>
          </cell>
          <cell r="O11">
            <v>0</v>
          </cell>
          <cell r="P11" t="str">
            <v>SC</v>
          </cell>
        </row>
        <row r="12">
          <cell r="A12">
            <v>5578</v>
          </cell>
          <cell r="O12">
            <v>813839645</v>
          </cell>
          <cell r="P12" t="str">
            <v>Others</v>
          </cell>
        </row>
        <row r="13">
          <cell r="A13">
            <v>5437</v>
          </cell>
          <cell r="O13">
            <v>804257216</v>
          </cell>
          <cell r="P13" t="str">
            <v>Others</v>
          </cell>
        </row>
        <row r="14">
          <cell r="A14">
            <v>4393</v>
          </cell>
          <cell r="O14">
            <v>803951001</v>
          </cell>
          <cell r="P14" t="str">
            <v>Others</v>
          </cell>
        </row>
        <row r="15">
          <cell r="A15">
            <v>5441</v>
          </cell>
          <cell r="O15">
            <v>812715484</v>
          </cell>
          <cell r="P15" t="str">
            <v>Others</v>
          </cell>
        </row>
        <row r="16">
          <cell r="A16">
            <v>5238</v>
          </cell>
          <cell r="O16">
            <v>812147995</v>
          </cell>
          <cell r="P16" t="str">
            <v>SC</v>
          </cell>
        </row>
        <row r="17">
          <cell r="A17">
            <v>5465</v>
          </cell>
          <cell r="O17">
            <v>813515188</v>
          </cell>
          <cell r="P17" t="str">
            <v>Others</v>
          </cell>
        </row>
        <row r="18">
          <cell r="A18">
            <v>5462</v>
          </cell>
          <cell r="O18">
            <v>813515202</v>
          </cell>
          <cell r="P18" t="str">
            <v>Others</v>
          </cell>
        </row>
        <row r="19">
          <cell r="A19">
            <v>5034</v>
          </cell>
          <cell r="O19">
            <v>811594037</v>
          </cell>
          <cell r="P19" t="str">
            <v>SC</v>
          </cell>
        </row>
        <row r="20">
          <cell r="A20">
            <v>5033</v>
          </cell>
          <cell r="O20">
            <v>811594015</v>
          </cell>
          <cell r="P20" t="str">
            <v>SC</v>
          </cell>
        </row>
        <row r="21">
          <cell r="A21">
            <v>5198</v>
          </cell>
          <cell r="O21">
            <v>806559543</v>
          </cell>
          <cell r="P21" t="str">
            <v>SC</v>
          </cell>
        </row>
        <row r="22">
          <cell r="A22">
            <v>5524</v>
          </cell>
          <cell r="O22">
            <v>813496390</v>
          </cell>
          <cell r="P22" t="str">
            <v>SC</v>
          </cell>
        </row>
        <row r="23">
          <cell r="A23">
            <v>5190</v>
          </cell>
          <cell r="O23">
            <v>807743665</v>
          </cell>
          <cell r="P23" t="str">
            <v>SC</v>
          </cell>
        </row>
        <row r="24">
          <cell r="A24">
            <v>5159</v>
          </cell>
          <cell r="O24">
            <v>803950030</v>
          </cell>
          <cell r="P24" t="str">
            <v>Others</v>
          </cell>
        </row>
        <row r="25">
          <cell r="A25">
            <v>5528</v>
          </cell>
          <cell r="O25">
            <v>812466457</v>
          </cell>
          <cell r="P25" t="str">
            <v>SC</v>
          </cell>
        </row>
        <row r="26">
          <cell r="A26">
            <v>5527</v>
          </cell>
          <cell r="O26">
            <v>812466468</v>
          </cell>
          <cell r="P26" t="str">
            <v>SC</v>
          </cell>
        </row>
        <row r="27">
          <cell r="A27">
            <v>5232</v>
          </cell>
          <cell r="O27">
            <v>810456519</v>
          </cell>
          <cell r="P27" t="str">
            <v>SC</v>
          </cell>
        </row>
        <row r="28">
          <cell r="A28">
            <v>5334</v>
          </cell>
          <cell r="O28">
            <v>0</v>
          </cell>
          <cell r="P28" t="str">
            <v>Others</v>
          </cell>
        </row>
        <row r="29">
          <cell r="A29">
            <v>5245</v>
          </cell>
          <cell r="O29">
            <v>810646022</v>
          </cell>
          <cell r="P29" t="str">
            <v>Others</v>
          </cell>
        </row>
        <row r="30">
          <cell r="A30">
            <v>5327</v>
          </cell>
          <cell r="O30">
            <v>810646157</v>
          </cell>
          <cell r="P30" t="str">
            <v>SC</v>
          </cell>
        </row>
        <row r="31">
          <cell r="A31">
            <v>5260</v>
          </cell>
          <cell r="O31">
            <v>810653459</v>
          </cell>
          <cell r="P31" t="str">
            <v>SC</v>
          </cell>
        </row>
        <row r="32">
          <cell r="A32">
            <v>5255</v>
          </cell>
          <cell r="O32">
            <v>810458867</v>
          </cell>
          <cell r="P32" t="str">
            <v>SC</v>
          </cell>
        </row>
        <row r="33">
          <cell r="A33">
            <v>3923</v>
          </cell>
          <cell r="O33">
            <v>805836756</v>
          </cell>
          <cell r="P33" t="str">
            <v>Others</v>
          </cell>
        </row>
        <row r="34">
          <cell r="A34">
            <v>5235</v>
          </cell>
          <cell r="O34">
            <v>810889791</v>
          </cell>
          <cell r="P34" t="str">
            <v>Others</v>
          </cell>
        </row>
        <row r="35">
          <cell r="A35">
            <v>5323</v>
          </cell>
          <cell r="O35">
            <v>810889779</v>
          </cell>
          <cell r="P35" t="str">
            <v>Others</v>
          </cell>
        </row>
        <row r="36">
          <cell r="A36">
            <v>1874</v>
          </cell>
          <cell r="O36">
            <v>810081536</v>
          </cell>
          <cell r="P36" t="str">
            <v>Others</v>
          </cell>
        </row>
        <row r="37">
          <cell r="A37">
            <v>5357</v>
          </cell>
          <cell r="O37">
            <v>810864641</v>
          </cell>
          <cell r="P37" t="str">
            <v>SC</v>
          </cell>
        </row>
        <row r="38">
          <cell r="A38">
            <v>4057</v>
          </cell>
          <cell r="O38">
            <v>810653404</v>
          </cell>
          <cell r="P38" t="str">
            <v>Others</v>
          </cell>
        </row>
        <row r="39">
          <cell r="A39">
            <v>5588</v>
          </cell>
          <cell r="O39">
            <v>813927157</v>
          </cell>
          <cell r="P39" t="str">
            <v>SC</v>
          </cell>
        </row>
        <row r="40">
          <cell r="A40">
            <v>5491</v>
          </cell>
          <cell r="O40">
            <v>812571744</v>
          </cell>
          <cell r="P40" t="str">
            <v>Others</v>
          </cell>
        </row>
        <row r="41">
          <cell r="A41">
            <v>5246</v>
          </cell>
          <cell r="O41">
            <v>812651687</v>
          </cell>
          <cell r="P41" t="str">
            <v>Others</v>
          </cell>
        </row>
        <row r="42">
          <cell r="A42">
            <v>5288</v>
          </cell>
          <cell r="O42">
            <v>810866490</v>
          </cell>
          <cell r="P42" t="str">
            <v>Others</v>
          </cell>
        </row>
        <row r="43">
          <cell r="A43">
            <v>5463</v>
          </cell>
          <cell r="O43">
            <v>812571700</v>
          </cell>
          <cell r="P43" t="str">
            <v>Others</v>
          </cell>
        </row>
        <row r="44">
          <cell r="A44">
            <v>5415</v>
          </cell>
          <cell r="O44">
            <v>812651701</v>
          </cell>
          <cell r="P44" t="str">
            <v>Others</v>
          </cell>
        </row>
        <row r="45">
          <cell r="A45">
            <v>5605</v>
          </cell>
          <cell r="O45">
            <v>0</v>
          </cell>
          <cell r="P45" t="str">
            <v>Others</v>
          </cell>
        </row>
        <row r="46">
          <cell r="A46">
            <v>5606</v>
          </cell>
          <cell r="O46">
            <v>0</v>
          </cell>
          <cell r="P46" t="str">
            <v>Others</v>
          </cell>
        </row>
        <row r="47">
          <cell r="A47">
            <v>5378</v>
          </cell>
          <cell r="O47">
            <v>810889768</v>
          </cell>
          <cell r="P47" t="str">
            <v>Others</v>
          </cell>
        </row>
        <row r="48">
          <cell r="A48">
            <v>5131</v>
          </cell>
          <cell r="O48">
            <v>812571766</v>
          </cell>
          <cell r="P48" t="str">
            <v>Others</v>
          </cell>
        </row>
        <row r="49">
          <cell r="A49">
            <v>5284</v>
          </cell>
          <cell r="O49">
            <v>810646135</v>
          </cell>
          <cell r="P49" t="str">
            <v>Others</v>
          </cell>
        </row>
        <row r="50">
          <cell r="A50">
            <v>5530</v>
          </cell>
          <cell r="O50">
            <v>812571733</v>
          </cell>
          <cell r="P50" t="str">
            <v>Sc</v>
          </cell>
        </row>
        <row r="51">
          <cell r="A51">
            <v>5377</v>
          </cell>
          <cell r="O51">
            <v>810889917</v>
          </cell>
          <cell r="P51" t="str">
            <v>Others</v>
          </cell>
        </row>
        <row r="52">
          <cell r="A52">
            <v>4349</v>
          </cell>
          <cell r="O52">
            <v>810167719</v>
          </cell>
          <cell r="P52" t="str">
            <v>Others</v>
          </cell>
        </row>
        <row r="53">
          <cell r="A53">
            <v>5599</v>
          </cell>
          <cell r="O53">
            <v>814353350</v>
          </cell>
          <cell r="P53" t="str">
            <v>Others</v>
          </cell>
        </row>
        <row r="54">
          <cell r="A54">
            <v>5055</v>
          </cell>
          <cell r="O54">
            <v>811594026</v>
          </cell>
          <cell r="P54" t="str">
            <v>Others</v>
          </cell>
        </row>
        <row r="55">
          <cell r="A55">
            <v>5346</v>
          </cell>
          <cell r="O55">
            <v>810864663</v>
          </cell>
          <cell r="P55" t="str">
            <v>SC</v>
          </cell>
        </row>
        <row r="56">
          <cell r="A56">
            <v>5602</v>
          </cell>
          <cell r="O56">
            <v>0</v>
          </cell>
          <cell r="P56" t="str">
            <v>Others</v>
          </cell>
        </row>
        <row r="57">
          <cell r="A57">
            <v>5360</v>
          </cell>
          <cell r="O57">
            <v>810865124</v>
          </cell>
          <cell r="P57" t="str">
            <v>SC</v>
          </cell>
        </row>
        <row r="58">
          <cell r="A58">
            <v>4973</v>
          </cell>
          <cell r="O58">
            <v>810889565</v>
          </cell>
          <cell r="P58" t="str">
            <v>Others</v>
          </cell>
        </row>
        <row r="59">
          <cell r="A59">
            <v>5376</v>
          </cell>
          <cell r="O59">
            <v>810866558</v>
          </cell>
          <cell r="P59" t="str">
            <v>Others</v>
          </cell>
        </row>
        <row r="60">
          <cell r="A60">
            <v>5026</v>
          </cell>
          <cell r="O60">
            <v>0</v>
          </cell>
          <cell r="P60" t="str">
            <v>SC</v>
          </cell>
        </row>
        <row r="61">
          <cell r="A61">
            <v>5573</v>
          </cell>
          <cell r="O61">
            <v>813834455</v>
          </cell>
          <cell r="P61" t="str">
            <v>SC</v>
          </cell>
        </row>
        <row r="62">
          <cell r="A62">
            <v>5178</v>
          </cell>
          <cell r="O62">
            <v>809972069</v>
          </cell>
          <cell r="P62" t="str">
            <v>Others</v>
          </cell>
        </row>
        <row r="63">
          <cell r="A63">
            <v>5607</v>
          </cell>
          <cell r="O63">
            <v>814753052</v>
          </cell>
          <cell r="P63" t="str">
            <v>SC</v>
          </cell>
        </row>
        <row r="64">
          <cell r="A64">
            <v>5608</v>
          </cell>
          <cell r="O64">
            <v>814912139</v>
          </cell>
          <cell r="P64" t="str">
            <v>SC</v>
          </cell>
        </row>
        <row r="65">
          <cell r="A65">
            <v>5220</v>
          </cell>
          <cell r="O65">
            <v>810866569</v>
          </cell>
          <cell r="P65" t="str">
            <v>Others</v>
          </cell>
        </row>
        <row r="66">
          <cell r="A66">
            <v>5283</v>
          </cell>
          <cell r="O66">
            <v>810866478</v>
          </cell>
          <cell r="P66" t="str">
            <v>Others</v>
          </cell>
        </row>
        <row r="67">
          <cell r="A67">
            <v>5505</v>
          </cell>
          <cell r="O67">
            <v>812571755</v>
          </cell>
          <cell r="P67" t="str">
            <v>Others</v>
          </cell>
        </row>
        <row r="68">
          <cell r="A68">
            <v>5582</v>
          </cell>
          <cell r="O68">
            <v>0</v>
          </cell>
          <cell r="P68" t="str">
            <v>SC</v>
          </cell>
        </row>
        <row r="69">
          <cell r="A69">
            <v>5375</v>
          </cell>
          <cell r="O69">
            <v>810866604</v>
          </cell>
          <cell r="P69" t="str">
            <v>Others</v>
          </cell>
        </row>
        <row r="70">
          <cell r="A70">
            <v>5277</v>
          </cell>
          <cell r="O70">
            <v>810866581</v>
          </cell>
          <cell r="P70" t="str">
            <v>Others</v>
          </cell>
        </row>
        <row r="71">
          <cell r="A71">
            <v>5550</v>
          </cell>
          <cell r="O71">
            <v>812791443</v>
          </cell>
          <cell r="P71" t="str">
            <v>SC</v>
          </cell>
        </row>
        <row r="72">
          <cell r="A72">
            <v>5410</v>
          </cell>
          <cell r="O72">
            <v>812791432</v>
          </cell>
          <cell r="P72" t="str">
            <v>Others</v>
          </cell>
        </row>
        <row r="73">
          <cell r="A73">
            <v>2241</v>
          </cell>
          <cell r="O73">
            <v>810889587</v>
          </cell>
          <cell r="P73" t="str">
            <v>Others</v>
          </cell>
        </row>
        <row r="74">
          <cell r="A74">
            <v>5242</v>
          </cell>
          <cell r="O74">
            <v>810866525</v>
          </cell>
          <cell r="P74" t="str">
            <v>Others</v>
          </cell>
        </row>
        <row r="75">
          <cell r="A75">
            <v>2705</v>
          </cell>
          <cell r="O75">
            <v>0</v>
          </cell>
          <cell r="P75" t="str">
            <v>Others</v>
          </cell>
        </row>
        <row r="76">
          <cell r="A76">
            <v>5579</v>
          </cell>
          <cell r="O76">
            <v>813834488</v>
          </cell>
          <cell r="P76" t="str">
            <v>SC</v>
          </cell>
        </row>
        <row r="77">
          <cell r="A77">
            <v>5551</v>
          </cell>
          <cell r="O77">
            <v>808627207</v>
          </cell>
          <cell r="P77" t="str">
            <v>SC</v>
          </cell>
        </row>
        <row r="78">
          <cell r="A78">
            <v>5278</v>
          </cell>
          <cell r="O78">
            <v>813496378</v>
          </cell>
          <cell r="P78" t="str">
            <v>Others</v>
          </cell>
        </row>
        <row r="79">
          <cell r="A79">
            <v>5546</v>
          </cell>
          <cell r="O79">
            <v>813496356</v>
          </cell>
          <cell r="P79" t="str">
            <v>Others</v>
          </cell>
        </row>
        <row r="80">
          <cell r="A80">
            <v>5571</v>
          </cell>
          <cell r="O80">
            <v>813496367</v>
          </cell>
          <cell r="P80" t="str">
            <v>Others</v>
          </cell>
        </row>
        <row r="81">
          <cell r="A81">
            <v>5466</v>
          </cell>
          <cell r="O81">
            <v>813553145</v>
          </cell>
          <cell r="P81" t="str">
            <v>SC</v>
          </cell>
        </row>
        <row r="82">
          <cell r="A82">
            <v>5570</v>
          </cell>
          <cell r="O82">
            <v>813553112</v>
          </cell>
          <cell r="P82" t="str">
            <v>SC</v>
          </cell>
        </row>
        <row r="83">
          <cell r="A83">
            <v>5569</v>
          </cell>
          <cell r="O83">
            <v>813553101</v>
          </cell>
          <cell r="P83" t="str">
            <v>SC</v>
          </cell>
        </row>
        <row r="84">
          <cell r="A84">
            <v>5279</v>
          </cell>
          <cell r="O84">
            <v>813496345</v>
          </cell>
          <cell r="P84" t="str">
            <v>Others</v>
          </cell>
        </row>
        <row r="85">
          <cell r="A85">
            <v>5568</v>
          </cell>
          <cell r="O85">
            <v>813553167</v>
          </cell>
          <cell r="P85" t="str">
            <v>SC</v>
          </cell>
        </row>
        <row r="86">
          <cell r="A86">
            <v>5555</v>
          </cell>
          <cell r="O86">
            <v>813515166</v>
          </cell>
          <cell r="P86" t="str">
            <v>SC</v>
          </cell>
        </row>
        <row r="87">
          <cell r="A87">
            <v>5267</v>
          </cell>
          <cell r="O87">
            <v>810458914</v>
          </cell>
          <cell r="P87" t="str">
            <v>Others</v>
          </cell>
        </row>
        <row r="88">
          <cell r="A88">
            <v>5464</v>
          </cell>
          <cell r="O88">
            <v>813496447</v>
          </cell>
          <cell r="P88" t="str">
            <v>Others</v>
          </cell>
        </row>
        <row r="89">
          <cell r="A89">
            <v>5358</v>
          </cell>
          <cell r="O89">
            <v>812058506</v>
          </cell>
          <cell r="P89" t="str">
            <v>SC</v>
          </cell>
        </row>
        <row r="90">
          <cell r="A90">
            <v>5293</v>
          </cell>
          <cell r="O90">
            <v>813496334</v>
          </cell>
          <cell r="P90" t="str">
            <v>SC</v>
          </cell>
        </row>
        <row r="91">
          <cell r="A91">
            <v>5364</v>
          </cell>
          <cell r="O91">
            <v>0</v>
          </cell>
          <cell r="P91" t="str">
            <v>SC</v>
          </cell>
        </row>
        <row r="92">
          <cell r="A92">
            <v>5289</v>
          </cell>
          <cell r="O92">
            <v>813496414</v>
          </cell>
          <cell r="P92" t="str">
            <v>Others</v>
          </cell>
        </row>
        <row r="93">
          <cell r="A93">
            <v>3913</v>
          </cell>
          <cell r="O93">
            <v>809759549</v>
          </cell>
          <cell r="P93" t="str">
            <v>SC</v>
          </cell>
        </row>
        <row r="94">
          <cell r="A94">
            <v>5249</v>
          </cell>
          <cell r="O94">
            <v>810456008</v>
          </cell>
          <cell r="P94" t="str">
            <v>Others</v>
          </cell>
        </row>
        <row r="95">
          <cell r="A95">
            <v>5231</v>
          </cell>
          <cell r="O95">
            <v>810456564</v>
          </cell>
          <cell r="P95" t="str">
            <v>SC</v>
          </cell>
        </row>
        <row r="96">
          <cell r="A96">
            <v>5372</v>
          </cell>
          <cell r="O96">
            <v>811925684</v>
          </cell>
          <cell r="P96" t="str">
            <v>SC</v>
          </cell>
        </row>
        <row r="97">
          <cell r="A97">
            <v>5303</v>
          </cell>
          <cell r="O97">
            <v>811925719</v>
          </cell>
          <cell r="P97" t="str">
            <v>Others</v>
          </cell>
        </row>
        <row r="98">
          <cell r="A98">
            <v>5492</v>
          </cell>
          <cell r="O98">
            <v>811925606</v>
          </cell>
          <cell r="P98" t="str">
            <v>SC</v>
          </cell>
        </row>
        <row r="99">
          <cell r="A99">
            <v>5211</v>
          </cell>
          <cell r="O99">
            <v>814069683</v>
          </cell>
          <cell r="P99" t="str">
            <v>SC</v>
          </cell>
        </row>
        <row r="100">
          <cell r="A100">
            <v>5236</v>
          </cell>
          <cell r="O100">
            <v>810456371</v>
          </cell>
          <cell r="P100" t="str">
            <v>SC</v>
          </cell>
        </row>
        <row r="101">
          <cell r="A101">
            <v>5374</v>
          </cell>
          <cell r="O101">
            <v>811925731</v>
          </cell>
          <cell r="P101" t="str">
            <v>SC</v>
          </cell>
        </row>
        <row r="102">
          <cell r="A102">
            <v>5408</v>
          </cell>
          <cell r="O102">
            <v>811591387</v>
          </cell>
          <cell r="P102" t="str">
            <v>Others</v>
          </cell>
        </row>
        <row r="103">
          <cell r="A103">
            <v>5250</v>
          </cell>
          <cell r="O103">
            <v>811925753</v>
          </cell>
          <cell r="P103" t="str">
            <v>SC</v>
          </cell>
        </row>
        <row r="104">
          <cell r="A104">
            <v>4647</v>
          </cell>
          <cell r="O104">
            <v>810458890</v>
          </cell>
          <cell r="P104" t="str">
            <v>SC</v>
          </cell>
        </row>
        <row r="105">
          <cell r="A105">
            <v>5632</v>
          </cell>
          <cell r="O105">
            <v>808991130</v>
          </cell>
          <cell r="P105" t="str">
            <v>SC</v>
          </cell>
        </row>
        <row r="106">
          <cell r="A106">
            <v>5291</v>
          </cell>
          <cell r="O106">
            <v>811925775</v>
          </cell>
          <cell r="P106" t="str">
            <v>Others</v>
          </cell>
        </row>
        <row r="107">
          <cell r="A107">
            <v>2771</v>
          </cell>
          <cell r="O107">
            <v>812233658</v>
          </cell>
          <cell r="P107" t="str">
            <v>Others</v>
          </cell>
        </row>
        <row r="108">
          <cell r="A108">
            <v>5230</v>
          </cell>
          <cell r="O108">
            <v>810456382</v>
          </cell>
          <cell r="P108" t="str">
            <v>SC</v>
          </cell>
        </row>
        <row r="109">
          <cell r="A109">
            <v>5292</v>
          </cell>
          <cell r="O109">
            <v>811925695</v>
          </cell>
          <cell r="P109" t="str">
            <v>Others</v>
          </cell>
        </row>
        <row r="110">
          <cell r="A110">
            <v>5432</v>
          </cell>
          <cell r="O110">
            <v>812058551</v>
          </cell>
          <cell r="P110" t="str">
            <v>Others</v>
          </cell>
        </row>
        <row r="111">
          <cell r="A111">
            <v>5100</v>
          </cell>
          <cell r="O111">
            <v>806578317</v>
          </cell>
          <cell r="P111" t="str">
            <v>SC</v>
          </cell>
        </row>
        <row r="112">
          <cell r="A112">
            <v>5218</v>
          </cell>
          <cell r="O112">
            <v>810864629</v>
          </cell>
          <cell r="P112" t="str">
            <v>SC</v>
          </cell>
        </row>
        <row r="113">
          <cell r="A113">
            <v>4959</v>
          </cell>
          <cell r="O113">
            <v>804051214</v>
          </cell>
          <cell r="P113" t="str">
            <v>Others</v>
          </cell>
        </row>
        <row r="114">
          <cell r="A114">
            <v>5263</v>
          </cell>
          <cell r="O114">
            <v>810646102</v>
          </cell>
          <cell r="P114" t="str">
            <v>Others</v>
          </cell>
        </row>
        <row r="115">
          <cell r="A115">
            <v>5183</v>
          </cell>
          <cell r="O115">
            <v>809958919</v>
          </cell>
          <cell r="P115" t="str">
            <v>Others</v>
          </cell>
        </row>
        <row r="116">
          <cell r="A116">
            <v>1900</v>
          </cell>
          <cell r="O116">
            <v>810646077</v>
          </cell>
          <cell r="P116" t="str">
            <v>Others</v>
          </cell>
        </row>
        <row r="117">
          <cell r="A117">
            <v>5262</v>
          </cell>
          <cell r="O117">
            <v>810653448</v>
          </cell>
          <cell r="P117" t="str">
            <v>SC</v>
          </cell>
        </row>
        <row r="118">
          <cell r="A118">
            <v>2286</v>
          </cell>
          <cell r="O118">
            <v>810475167</v>
          </cell>
          <cell r="P118" t="str">
            <v>Others</v>
          </cell>
        </row>
        <row r="119">
          <cell r="A119">
            <v>5217</v>
          </cell>
          <cell r="O119">
            <v>810646226</v>
          </cell>
          <cell r="P119" t="str">
            <v>SC</v>
          </cell>
        </row>
        <row r="120">
          <cell r="A120">
            <v>5148</v>
          </cell>
          <cell r="O120">
            <v>804019804</v>
          </cell>
          <cell r="P120" t="str">
            <v>SC</v>
          </cell>
        </row>
        <row r="121">
          <cell r="A121">
            <v>5336</v>
          </cell>
          <cell r="O121">
            <v>806407556</v>
          </cell>
          <cell r="P121" t="str">
            <v>Others</v>
          </cell>
        </row>
        <row r="122">
          <cell r="A122">
            <v>4981</v>
          </cell>
          <cell r="O122">
            <v>803905837</v>
          </cell>
          <cell r="P122" t="str">
            <v>Others</v>
          </cell>
        </row>
        <row r="123">
          <cell r="A123">
            <v>5065</v>
          </cell>
          <cell r="O123">
            <v>806690952</v>
          </cell>
          <cell r="P123" t="str">
            <v>Others</v>
          </cell>
        </row>
        <row r="124">
          <cell r="A124">
            <v>5140</v>
          </cell>
          <cell r="O124">
            <v>808991118</v>
          </cell>
          <cell r="P124" t="str">
            <v>Others</v>
          </cell>
        </row>
        <row r="125">
          <cell r="A125">
            <v>5259</v>
          </cell>
          <cell r="O125">
            <v>810395270</v>
          </cell>
          <cell r="P125" t="str">
            <v>Others</v>
          </cell>
        </row>
        <row r="126">
          <cell r="A126">
            <v>5196</v>
          </cell>
          <cell r="O126">
            <v>810389889</v>
          </cell>
          <cell r="P126" t="str">
            <v>SC</v>
          </cell>
        </row>
        <row r="127">
          <cell r="A127">
            <v>5167</v>
          </cell>
          <cell r="O127">
            <v>809861508</v>
          </cell>
          <cell r="P127" t="str">
            <v>SC</v>
          </cell>
        </row>
        <row r="128">
          <cell r="A128">
            <v>5471</v>
          </cell>
          <cell r="O128">
            <v>811790892</v>
          </cell>
          <cell r="P128" t="str">
            <v>Others</v>
          </cell>
        </row>
        <row r="129">
          <cell r="A129">
            <v>5188</v>
          </cell>
          <cell r="O129">
            <v>809991774</v>
          </cell>
          <cell r="P129" t="str">
            <v>SC</v>
          </cell>
        </row>
        <row r="130">
          <cell r="A130">
            <v>5591</v>
          </cell>
          <cell r="O130">
            <v>814162297</v>
          </cell>
          <cell r="P130" t="str">
            <v>SC</v>
          </cell>
        </row>
        <row r="131">
          <cell r="A131">
            <v>5347</v>
          </cell>
          <cell r="O131">
            <v>810864607</v>
          </cell>
          <cell r="P131" t="str">
            <v>SC</v>
          </cell>
        </row>
        <row r="132">
          <cell r="A132">
            <v>5041</v>
          </cell>
          <cell r="O132">
            <v>810016271</v>
          </cell>
          <cell r="P132" t="str">
            <v>Others</v>
          </cell>
        </row>
        <row r="133">
          <cell r="A133">
            <v>5203</v>
          </cell>
          <cell r="O133">
            <v>810088394</v>
          </cell>
          <cell r="P133" t="str">
            <v>Others</v>
          </cell>
        </row>
        <row r="134">
          <cell r="A134">
            <v>5477</v>
          </cell>
          <cell r="O134">
            <v>812004140</v>
          </cell>
          <cell r="P134" t="str">
            <v>Others</v>
          </cell>
        </row>
        <row r="135">
          <cell r="A135">
            <v>5187</v>
          </cell>
          <cell r="O135">
            <v>809945637</v>
          </cell>
          <cell r="P135" t="str">
            <v>Others</v>
          </cell>
        </row>
        <row r="136">
          <cell r="A136">
            <v>5130</v>
          </cell>
          <cell r="O136">
            <v>810027078</v>
          </cell>
          <cell r="P136" t="str">
            <v>Others</v>
          </cell>
        </row>
        <row r="137">
          <cell r="A137">
            <v>5601</v>
          </cell>
          <cell r="O137">
            <v>814779762</v>
          </cell>
          <cell r="P137" t="str">
            <v>SC</v>
          </cell>
        </row>
        <row r="138">
          <cell r="A138">
            <v>5595</v>
          </cell>
          <cell r="O138">
            <v>814780235</v>
          </cell>
          <cell r="P138" t="str">
            <v>Others</v>
          </cell>
        </row>
        <row r="139">
          <cell r="A139">
            <v>5207</v>
          </cell>
          <cell r="O139">
            <v>810136724</v>
          </cell>
          <cell r="P139" t="str">
            <v>Others</v>
          </cell>
        </row>
        <row r="140">
          <cell r="A140">
            <v>5535</v>
          </cell>
          <cell r="O140">
            <v>812608278</v>
          </cell>
          <cell r="P140" t="str">
            <v>SC</v>
          </cell>
        </row>
        <row r="141">
          <cell r="A141">
            <v>2884</v>
          </cell>
          <cell r="O141">
            <v>814868199</v>
          </cell>
          <cell r="P141" t="str">
            <v>Others</v>
          </cell>
        </row>
        <row r="142">
          <cell r="A142">
            <v>5219</v>
          </cell>
          <cell r="O142">
            <v>804755379</v>
          </cell>
          <cell r="P142" t="str">
            <v>Others</v>
          </cell>
        </row>
        <row r="143">
          <cell r="A143">
            <v>5403</v>
          </cell>
          <cell r="O143">
            <v>811591310</v>
          </cell>
          <cell r="P143" t="str">
            <v>Others</v>
          </cell>
        </row>
        <row r="144">
          <cell r="A144">
            <v>3132</v>
          </cell>
          <cell r="O144">
            <v>810866570</v>
          </cell>
          <cell r="P144" t="str">
            <v>Others</v>
          </cell>
        </row>
        <row r="145">
          <cell r="A145">
            <v>4084</v>
          </cell>
          <cell r="O145">
            <v>809660980</v>
          </cell>
          <cell r="P145" t="str">
            <v>Others</v>
          </cell>
        </row>
        <row r="146">
          <cell r="A146">
            <v>5111</v>
          </cell>
          <cell r="O146">
            <v>810866489</v>
          </cell>
          <cell r="P146" t="str">
            <v>SC</v>
          </cell>
        </row>
        <row r="147">
          <cell r="A147">
            <v>3053</v>
          </cell>
          <cell r="O147">
            <v>804123554</v>
          </cell>
          <cell r="P147" t="str">
            <v>Others</v>
          </cell>
        </row>
        <row r="148">
          <cell r="A148">
            <v>5499</v>
          </cell>
          <cell r="O148">
            <v>812608187</v>
          </cell>
          <cell r="P148" t="str">
            <v>Others</v>
          </cell>
        </row>
        <row r="149">
          <cell r="A149">
            <v>5189</v>
          </cell>
          <cell r="O149">
            <v>811045134</v>
          </cell>
          <cell r="P149" t="str">
            <v>SC</v>
          </cell>
        </row>
        <row r="150">
          <cell r="A150">
            <v>5609</v>
          </cell>
          <cell r="O150">
            <v>814896499</v>
          </cell>
          <cell r="P150" t="str">
            <v>Others</v>
          </cell>
        </row>
        <row r="151">
          <cell r="A151">
            <v>5531</v>
          </cell>
          <cell r="O151">
            <v>812716089</v>
          </cell>
          <cell r="P151" t="str">
            <v>SC</v>
          </cell>
        </row>
        <row r="152">
          <cell r="A152">
            <v>2791</v>
          </cell>
          <cell r="O152">
            <v>812571711</v>
          </cell>
          <cell r="P152" t="str">
            <v>SC</v>
          </cell>
        </row>
        <row r="153">
          <cell r="A153">
            <v>5313</v>
          </cell>
          <cell r="O153">
            <v>811045065</v>
          </cell>
          <cell r="P153" t="str">
            <v>Others</v>
          </cell>
        </row>
        <row r="154">
          <cell r="A154">
            <v>5099</v>
          </cell>
          <cell r="O154">
            <v>809432488</v>
          </cell>
          <cell r="P154" t="str">
            <v>SC</v>
          </cell>
        </row>
        <row r="155">
          <cell r="A155">
            <v>5194</v>
          </cell>
          <cell r="O155">
            <v>810088383</v>
          </cell>
          <cell r="P155" t="str">
            <v>SC</v>
          </cell>
        </row>
        <row r="156">
          <cell r="A156">
            <v>5503</v>
          </cell>
          <cell r="O156">
            <v>812123599</v>
          </cell>
          <cell r="P156" t="str">
            <v>SC</v>
          </cell>
        </row>
        <row r="157">
          <cell r="A157">
            <v>5422</v>
          </cell>
          <cell r="O157">
            <v>811640008</v>
          </cell>
          <cell r="P157" t="str">
            <v>Others</v>
          </cell>
        </row>
        <row r="158">
          <cell r="A158">
            <v>5428</v>
          </cell>
          <cell r="O158">
            <v>811639999</v>
          </cell>
          <cell r="P158" t="str">
            <v>Others</v>
          </cell>
        </row>
        <row r="159">
          <cell r="A159">
            <v>5186</v>
          </cell>
          <cell r="O159">
            <v>809972047</v>
          </cell>
          <cell r="P159" t="str">
            <v>Others</v>
          </cell>
        </row>
        <row r="160">
          <cell r="A160">
            <v>5127</v>
          </cell>
          <cell r="O160">
            <v>809972092</v>
          </cell>
          <cell r="P160" t="str">
            <v>Others</v>
          </cell>
        </row>
        <row r="161">
          <cell r="A161">
            <v>5302</v>
          </cell>
          <cell r="O161">
            <v>810888448</v>
          </cell>
          <cell r="P161" t="str">
            <v>Others</v>
          </cell>
        </row>
        <row r="162">
          <cell r="A162">
            <v>5611</v>
          </cell>
          <cell r="O162">
            <v>814912093</v>
          </cell>
          <cell r="P162" t="str">
            <v>SC</v>
          </cell>
        </row>
        <row r="163">
          <cell r="A163">
            <v>5564</v>
          </cell>
          <cell r="O163">
            <v>814912106</v>
          </cell>
          <cell r="P163" t="str">
            <v>Others</v>
          </cell>
        </row>
        <row r="164">
          <cell r="A164">
            <v>5088</v>
          </cell>
          <cell r="O164">
            <v>809434713</v>
          </cell>
          <cell r="P164" t="str">
            <v>SC</v>
          </cell>
        </row>
        <row r="165">
          <cell r="A165">
            <v>5381</v>
          </cell>
          <cell r="O165">
            <v>806578340</v>
          </cell>
          <cell r="P165" t="str">
            <v>SC</v>
          </cell>
        </row>
        <row r="166">
          <cell r="A166">
            <v>5192</v>
          </cell>
          <cell r="O166">
            <v>809986800</v>
          </cell>
          <cell r="P166" t="str">
            <v>Others</v>
          </cell>
        </row>
        <row r="167">
          <cell r="A167">
            <v>5544</v>
          </cell>
          <cell r="O167">
            <v>812715698</v>
          </cell>
          <cell r="P167" t="str">
            <v>SC</v>
          </cell>
        </row>
        <row r="168">
          <cell r="A168">
            <v>5472</v>
          </cell>
          <cell r="O168">
            <v>811821732</v>
          </cell>
          <cell r="P168" t="str">
            <v>Others</v>
          </cell>
        </row>
        <row r="169">
          <cell r="A169">
            <v>5042</v>
          </cell>
          <cell r="O169">
            <v>806352390</v>
          </cell>
          <cell r="P169" t="str">
            <v>Others</v>
          </cell>
        </row>
        <row r="170">
          <cell r="A170">
            <v>5473</v>
          </cell>
          <cell r="O170">
            <v>811790905</v>
          </cell>
          <cell r="P170" t="str">
            <v>Others</v>
          </cell>
        </row>
        <row r="171">
          <cell r="A171">
            <v>3787</v>
          </cell>
          <cell r="O171">
            <v>804110056</v>
          </cell>
          <cell r="P171" t="str">
            <v>Others</v>
          </cell>
        </row>
        <row r="172">
          <cell r="A172">
            <v>5216</v>
          </cell>
          <cell r="O172">
            <v>810389914</v>
          </cell>
          <cell r="P172" t="str">
            <v>Others</v>
          </cell>
        </row>
        <row r="173">
          <cell r="A173">
            <v>5421</v>
          </cell>
          <cell r="O173">
            <v>812004059</v>
          </cell>
          <cell r="P173" t="str">
            <v>SC</v>
          </cell>
        </row>
        <row r="174">
          <cell r="A174">
            <v>4458</v>
          </cell>
          <cell r="O174">
            <v>808879072</v>
          </cell>
          <cell r="P174" t="str">
            <v>SC</v>
          </cell>
        </row>
        <row r="175">
          <cell r="A175">
            <v>4456</v>
          </cell>
          <cell r="O175">
            <v>808879049</v>
          </cell>
          <cell r="P175" t="str">
            <v>SC</v>
          </cell>
        </row>
        <row r="176">
          <cell r="A176">
            <v>5543</v>
          </cell>
          <cell r="O176">
            <v>812715439</v>
          </cell>
          <cell r="P176" t="str">
            <v>SC</v>
          </cell>
        </row>
        <row r="177">
          <cell r="A177">
            <v>4731</v>
          </cell>
          <cell r="O177">
            <v>803987276</v>
          </cell>
          <cell r="P177" t="str">
            <v>Others</v>
          </cell>
        </row>
        <row r="178">
          <cell r="A178">
            <v>5161</v>
          </cell>
          <cell r="O178">
            <v>808874018</v>
          </cell>
          <cell r="P178" t="str">
            <v>SC</v>
          </cell>
        </row>
        <row r="179">
          <cell r="A179">
            <v>5051</v>
          </cell>
          <cell r="O179">
            <v>806738180</v>
          </cell>
          <cell r="P179" t="str">
            <v>SC</v>
          </cell>
        </row>
        <row r="180">
          <cell r="A180">
            <v>5241</v>
          </cell>
          <cell r="O180">
            <v>810389878</v>
          </cell>
          <cell r="P180" t="str">
            <v>Others</v>
          </cell>
        </row>
        <row r="181">
          <cell r="A181">
            <v>5066</v>
          </cell>
          <cell r="O181">
            <v>810651746</v>
          </cell>
          <cell r="P181" t="str">
            <v>Others</v>
          </cell>
        </row>
        <row r="182">
          <cell r="A182">
            <v>5348</v>
          </cell>
          <cell r="O182">
            <v>805806460</v>
          </cell>
          <cell r="P182" t="str">
            <v>Others</v>
          </cell>
        </row>
        <row r="183">
          <cell r="A183">
            <v>5615</v>
          </cell>
          <cell r="O183">
            <v>815003880</v>
          </cell>
          <cell r="P183" t="str">
            <v>SC</v>
          </cell>
        </row>
        <row r="184">
          <cell r="A184">
            <v>5614</v>
          </cell>
          <cell r="O184">
            <v>815003891</v>
          </cell>
          <cell r="P184" t="str">
            <v>SC</v>
          </cell>
        </row>
        <row r="185">
          <cell r="A185">
            <v>5147</v>
          </cell>
          <cell r="O185">
            <v>809766668</v>
          </cell>
          <cell r="P185" t="str">
            <v>SC</v>
          </cell>
        </row>
        <row r="186">
          <cell r="A186">
            <v>4337</v>
          </cell>
          <cell r="O186">
            <v>810167720</v>
          </cell>
          <cell r="P186" t="str">
            <v>Others</v>
          </cell>
        </row>
        <row r="187">
          <cell r="A187">
            <v>5335</v>
          </cell>
          <cell r="O187">
            <v>810889600</v>
          </cell>
          <cell r="P187" t="str">
            <v>Others</v>
          </cell>
        </row>
        <row r="188">
          <cell r="A188">
            <v>5396</v>
          </cell>
          <cell r="O188">
            <v>804755867</v>
          </cell>
          <cell r="P188" t="str">
            <v>SC</v>
          </cell>
        </row>
        <row r="189">
          <cell r="A189">
            <v>2528</v>
          </cell>
          <cell r="O189">
            <v>813834921</v>
          </cell>
          <cell r="P189" t="str">
            <v>Others</v>
          </cell>
        </row>
        <row r="190">
          <cell r="A190">
            <v>5494</v>
          </cell>
          <cell r="O190">
            <v>812899356</v>
          </cell>
          <cell r="P190" t="str">
            <v>Others</v>
          </cell>
        </row>
        <row r="191">
          <cell r="A191">
            <v>5584</v>
          </cell>
          <cell r="O191">
            <v>813995821</v>
          </cell>
          <cell r="P191" t="str">
            <v>Others</v>
          </cell>
        </row>
        <row r="192">
          <cell r="A192">
            <v>5495</v>
          </cell>
          <cell r="O192">
            <v>812466480</v>
          </cell>
          <cell r="P192" t="str">
            <v>Others</v>
          </cell>
        </row>
        <row r="193">
          <cell r="A193">
            <v>4668</v>
          </cell>
          <cell r="O193">
            <v>808788639</v>
          </cell>
          <cell r="P193" t="str">
            <v>SC</v>
          </cell>
        </row>
        <row r="194">
          <cell r="A194">
            <v>2452</v>
          </cell>
          <cell r="O194">
            <v>810200566</v>
          </cell>
          <cell r="P194" t="str">
            <v>Others</v>
          </cell>
        </row>
        <row r="195">
          <cell r="A195">
            <v>5470</v>
          </cell>
          <cell r="O195">
            <v>812004071</v>
          </cell>
          <cell r="P195" t="str">
            <v>SC</v>
          </cell>
        </row>
        <row r="196">
          <cell r="A196">
            <v>5446</v>
          </cell>
          <cell r="O196">
            <v>811591376</v>
          </cell>
          <cell r="P196" t="str">
            <v>Others</v>
          </cell>
        </row>
        <row r="197">
          <cell r="A197">
            <v>5398</v>
          </cell>
          <cell r="O197">
            <v>811045054</v>
          </cell>
          <cell r="P197" t="str">
            <v>Others</v>
          </cell>
        </row>
        <row r="198">
          <cell r="A198">
            <v>2561</v>
          </cell>
          <cell r="O198">
            <v>810888357</v>
          </cell>
          <cell r="P198" t="str">
            <v>SC</v>
          </cell>
        </row>
        <row r="199">
          <cell r="A199">
            <v>2906</v>
          </cell>
          <cell r="O199">
            <v>803968763</v>
          </cell>
          <cell r="P199" t="str">
            <v>Others</v>
          </cell>
        </row>
        <row r="200">
          <cell r="A200">
            <v>4800</v>
          </cell>
          <cell r="O200">
            <v>803916328</v>
          </cell>
          <cell r="P200" t="str">
            <v>Others</v>
          </cell>
        </row>
        <row r="201">
          <cell r="A201">
            <v>5395</v>
          </cell>
          <cell r="O201">
            <v>806347834</v>
          </cell>
          <cell r="P201" t="str">
            <v>Others</v>
          </cell>
        </row>
        <row r="202">
          <cell r="A202">
            <v>5392</v>
          </cell>
          <cell r="O202">
            <v>804333775</v>
          </cell>
          <cell r="P202" t="str">
            <v>SC</v>
          </cell>
        </row>
        <row r="203">
          <cell r="A203">
            <v>5391</v>
          </cell>
          <cell r="O203">
            <v>811045087</v>
          </cell>
          <cell r="P203" t="str">
            <v>Others</v>
          </cell>
        </row>
        <row r="204">
          <cell r="A204">
            <v>5533</v>
          </cell>
          <cell r="O204">
            <v>812791454</v>
          </cell>
          <cell r="P204" t="str">
            <v>Others</v>
          </cell>
        </row>
        <row r="205">
          <cell r="A205">
            <v>3323</v>
          </cell>
          <cell r="O205">
            <v>811222263</v>
          </cell>
          <cell r="P205" t="str">
            <v>Others</v>
          </cell>
        </row>
        <row r="206">
          <cell r="A206">
            <v>4939</v>
          </cell>
          <cell r="O206">
            <v>808991129</v>
          </cell>
          <cell r="P206" t="str">
            <v>Others</v>
          </cell>
        </row>
        <row r="207">
          <cell r="A207">
            <v>5589</v>
          </cell>
          <cell r="O207">
            <v>814178241</v>
          </cell>
          <cell r="P207" t="str">
            <v>Others</v>
          </cell>
        </row>
        <row r="208">
          <cell r="A208">
            <v>5399</v>
          </cell>
          <cell r="O208">
            <v>811222092</v>
          </cell>
          <cell r="P208" t="str">
            <v>Others</v>
          </cell>
        </row>
        <row r="209">
          <cell r="A209">
            <v>5157</v>
          </cell>
          <cell r="O209">
            <v>803950915</v>
          </cell>
          <cell r="P209" t="str">
            <v>Others</v>
          </cell>
        </row>
        <row r="210">
          <cell r="A210">
            <v>4369</v>
          </cell>
          <cell r="O210">
            <v>813404568</v>
          </cell>
          <cell r="P210" t="str">
            <v>Others</v>
          </cell>
        </row>
        <row r="211">
          <cell r="A211">
            <v>5052</v>
          </cell>
          <cell r="O211">
            <v>806398380</v>
          </cell>
          <cell r="P211" t="str">
            <v>SC</v>
          </cell>
        </row>
        <row r="212">
          <cell r="A212">
            <v>2985</v>
          </cell>
          <cell r="O212">
            <v>803953869</v>
          </cell>
          <cell r="P212" t="str">
            <v>Others</v>
          </cell>
        </row>
        <row r="213">
          <cell r="A213">
            <v>3993</v>
          </cell>
          <cell r="O213">
            <v>803886971</v>
          </cell>
          <cell r="P213" t="str">
            <v>SC</v>
          </cell>
        </row>
        <row r="214">
          <cell r="A214">
            <v>5175</v>
          </cell>
          <cell r="O214">
            <v>809891408</v>
          </cell>
          <cell r="P214" t="str">
            <v>SC</v>
          </cell>
        </row>
        <row r="215">
          <cell r="A215">
            <v>2676</v>
          </cell>
          <cell r="O215">
            <v>813901933</v>
          </cell>
          <cell r="P215" t="str">
            <v>SC</v>
          </cell>
        </row>
        <row r="216">
          <cell r="A216">
            <v>5593</v>
          </cell>
          <cell r="O216">
            <v>814162286</v>
          </cell>
          <cell r="P216" t="str">
            <v>Others</v>
          </cell>
        </row>
        <row r="217">
          <cell r="A217">
            <v>5447</v>
          </cell>
          <cell r="O217">
            <v>812004082</v>
          </cell>
          <cell r="P217" t="str">
            <v>SC</v>
          </cell>
        </row>
        <row r="218">
          <cell r="A218">
            <v>5394</v>
          </cell>
          <cell r="O218">
            <v>0</v>
          </cell>
          <cell r="P218" t="str">
            <v>SC</v>
          </cell>
        </row>
        <row r="219">
          <cell r="A219">
            <v>5137</v>
          </cell>
          <cell r="O219">
            <v>809630127</v>
          </cell>
          <cell r="P219" t="str">
            <v>Others</v>
          </cell>
        </row>
        <row r="220">
          <cell r="A220">
            <v>2989</v>
          </cell>
          <cell r="O220">
            <v>811222025</v>
          </cell>
          <cell r="P220" t="str">
            <v>SC</v>
          </cell>
        </row>
        <row r="221">
          <cell r="A221">
            <v>5545</v>
          </cell>
          <cell r="O221">
            <v>813404818</v>
          </cell>
          <cell r="P221" t="str">
            <v>SC</v>
          </cell>
        </row>
        <row r="222">
          <cell r="A222">
            <v>5176</v>
          </cell>
          <cell r="O222">
            <v>809891431</v>
          </cell>
          <cell r="P222" t="str">
            <v>SC</v>
          </cell>
        </row>
        <row r="223">
          <cell r="A223">
            <v>5043</v>
          </cell>
          <cell r="O223">
            <v>806782844</v>
          </cell>
          <cell r="P223" t="str">
            <v>Others</v>
          </cell>
        </row>
        <row r="224">
          <cell r="A224">
            <v>4991</v>
          </cell>
          <cell r="O224">
            <v>806577197</v>
          </cell>
          <cell r="P224" t="str">
            <v>Others</v>
          </cell>
        </row>
        <row r="225">
          <cell r="A225">
            <v>5404</v>
          </cell>
          <cell r="O225">
            <v>811222274</v>
          </cell>
          <cell r="P225" t="str">
            <v>Others</v>
          </cell>
        </row>
        <row r="226">
          <cell r="A226">
            <v>5419</v>
          </cell>
          <cell r="O226">
            <v>809662933</v>
          </cell>
          <cell r="P226" t="str">
            <v>Others</v>
          </cell>
        </row>
        <row r="227">
          <cell r="A227">
            <v>4053</v>
          </cell>
          <cell r="O227">
            <v>803979399</v>
          </cell>
          <cell r="P227" t="str">
            <v>SC</v>
          </cell>
        </row>
        <row r="228">
          <cell r="A228">
            <v>3959</v>
          </cell>
          <cell r="O228">
            <v>804254918</v>
          </cell>
          <cell r="P228" t="str">
            <v>SC</v>
          </cell>
        </row>
        <row r="229">
          <cell r="A229">
            <v>5560</v>
          </cell>
          <cell r="O229">
            <v>813404535</v>
          </cell>
          <cell r="P229" t="str">
            <v>SC</v>
          </cell>
        </row>
        <row r="230">
          <cell r="A230">
            <v>1822</v>
          </cell>
          <cell r="O230">
            <v>803890024</v>
          </cell>
          <cell r="P230" t="str">
            <v>Others</v>
          </cell>
        </row>
        <row r="231">
          <cell r="A231">
            <v>5425</v>
          </cell>
          <cell r="O231">
            <v>811340173</v>
          </cell>
          <cell r="P231" t="str">
            <v>SC</v>
          </cell>
        </row>
        <row r="232">
          <cell r="A232">
            <v>4452</v>
          </cell>
          <cell r="O232">
            <v>809851147</v>
          </cell>
          <cell r="P232" t="str">
            <v>SC</v>
          </cell>
        </row>
        <row r="233">
          <cell r="A233">
            <v>5170</v>
          </cell>
          <cell r="O233">
            <v>809954710</v>
          </cell>
          <cell r="P233" t="str">
            <v>SC</v>
          </cell>
        </row>
        <row r="234">
          <cell r="A234">
            <v>5616</v>
          </cell>
          <cell r="O234">
            <v>815518063</v>
          </cell>
          <cell r="P234" t="str">
            <v>Others</v>
          </cell>
        </row>
        <row r="235">
          <cell r="A235">
            <v>5171</v>
          </cell>
          <cell r="O235">
            <v>806389716</v>
          </cell>
          <cell r="P235" t="str">
            <v>SC</v>
          </cell>
        </row>
        <row r="236">
          <cell r="A236">
            <v>5309</v>
          </cell>
          <cell r="O236">
            <v>0</v>
          </cell>
          <cell r="P236">
            <v>0</v>
          </cell>
        </row>
        <row r="237">
          <cell r="A237">
            <v>5540</v>
          </cell>
          <cell r="O237">
            <v>813404444</v>
          </cell>
          <cell r="P237" t="str">
            <v>Others</v>
          </cell>
        </row>
        <row r="238">
          <cell r="A238">
            <v>5165</v>
          </cell>
          <cell r="O238">
            <v>809861665</v>
          </cell>
          <cell r="P238" t="str">
            <v>Others</v>
          </cell>
        </row>
        <row r="239">
          <cell r="A239">
            <v>5172</v>
          </cell>
          <cell r="O239">
            <v>809891497</v>
          </cell>
          <cell r="P239" t="str">
            <v>Others</v>
          </cell>
        </row>
        <row r="240">
          <cell r="A240">
            <v>5409</v>
          </cell>
          <cell r="O240">
            <v>811222070</v>
          </cell>
          <cell r="P240" t="str">
            <v>SC</v>
          </cell>
        </row>
        <row r="241">
          <cell r="A241">
            <v>5587</v>
          </cell>
          <cell r="O241">
            <v>813898862</v>
          </cell>
          <cell r="P241" t="str">
            <v>Others</v>
          </cell>
        </row>
        <row r="242">
          <cell r="A242">
            <v>5045</v>
          </cell>
          <cell r="O242">
            <v>806714908</v>
          </cell>
          <cell r="P242" t="str">
            <v>Others</v>
          </cell>
        </row>
        <row r="243">
          <cell r="A243">
            <v>5483</v>
          </cell>
          <cell r="O243">
            <v>811854688</v>
          </cell>
          <cell r="P243" t="str">
            <v>Others</v>
          </cell>
        </row>
        <row r="244">
          <cell r="A244">
            <v>5442</v>
          </cell>
          <cell r="O244">
            <v>0</v>
          </cell>
          <cell r="P244" t="str">
            <v>Others</v>
          </cell>
        </row>
        <row r="245">
          <cell r="A245">
            <v>5493</v>
          </cell>
          <cell r="O245">
            <v>811925742</v>
          </cell>
          <cell r="P245" t="str">
            <v>SC</v>
          </cell>
        </row>
        <row r="246">
          <cell r="A246">
            <v>0</v>
          </cell>
          <cell r="O246">
            <v>812513862</v>
          </cell>
          <cell r="P246" t="str">
            <v>SC</v>
          </cell>
        </row>
        <row r="247">
          <cell r="A247">
            <v>0</v>
          </cell>
          <cell r="O247">
            <v>809861519</v>
          </cell>
          <cell r="P247" t="str">
            <v>SC</v>
          </cell>
        </row>
        <row r="248">
          <cell r="A248">
            <v>5566</v>
          </cell>
          <cell r="O248">
            <v>813514763</v>
          </cell>
          <cell r="P248" t="str">
            <v>SC</v>
          </cell>
        </row>
        <row r="249">
          <cell r="A249">
            <v>5592</v>
          </cell>
          <cell r="O249">
            <v>806341195</v>
          </cell>
          <cell r="P249" t="str">
            <v>SC</v>
          </cell>
        </row>
        <row r="250">
          <cell r="A250">
            <v>4421</v>
          </cell>
          <cell r="O250">
            <v>806347039</v>
          </cell>
          <cell r="P250" t="str">
            <v>SC</v>
          </cell>
        </row>
        <row r="251">
          <cell r="A251">
            <v>0</v>
          </cell>
          <cell r="O251">
            <v>804302431</v>
          </cell>
          <cell r="P251" t="str">
            <v>SC</v>
          </cell>
        </row>
        <row r="252">
          <cell r="A252">
            <v>4465</v>
          </cell>
          <cell r="O252">
            <v>813514887</v>
          </cell>
          <cell r="P252" t="str">
            <v>SC</v>
          </cell>
        </row>
        <row r="253">
          <cell r="A253">
            <v>4424</v>
          </cell>
          <cell r="O253">
            <v>813514832</v>
          </cell>
          <cell r="P253" t="str">
            <v>SC</v>
          </cell>
        </row>
        <row r="254">
          <cell r="A254">
            <v>5156</v>
          </cell>
          <cell r="O254">
            <v>804132773</v>
          </cell>
          <cell r="P254" t="str">
            <v>Others</v>
          </cell>
        </row>
        <row r="255">
          <cell r="A255">
            <v>5565</v>
          </cell>
          <cell r="O255">
            <v>813514876</v>
          </cell>
          <cell r="P255" t="str">
            <v>Others</v>
          </cell>
        </row>
        <row r="256">
          <cell r="A256">
            <v>4404</v>
          </cell>
          <cell r="O256">
            <v>814068103</v>
          </cell>
          <cell r="P256" t="str">
            <v>Others</v>
          </cell>
        </row>
        <row r="257">
          <cell r="A257">
            <v>2852</v>
          </cell>
          <cell r="O257">
            <v>808769494</v>
          </cell>
          <cell r="P257" t="str">
            <v>Others</v>
          </cell>
        </row>
        <row r="258">
          <cell r="A258">
            <v>4467</v>
          </cell>
          <cell r="O258">
            <v>813514865</v>
          </cell>
          <cell r="P258" t="str">
            <v>Others</v>
          </cell>
        </row>
        <row r="259">
          <cell r="A259">
            <v>5121</v>
          </cell>
          <cell r="O259">
            <v>809861676</v>
          </cell>
          <cell r="P259" t="str">
            <v>Others</v>
          </cell>
        </row>
        <row r="260">
          <cell r="A260">
            <v>5182</v>
          </cell>
          <cell r="O260">
            <v>810015198</v>
          </cell>
          <cell r="P260" t="str">
            <v>Others</v>
          </cell>
        </row>
        <row r="261">
          <cell r="A261">
            <v>3965</v>
          </cell>
          <cell r="O261">
            <v>804202925</v>
          </cell>
          <cell r="P261" t="str">
            <v>Others</v>
          </cell>
        </row>
        <row r="262">
          <cell r="A262">
            <v>5152</v>
          </cell>
          <cell r="O262">
            <v>809767481</v>
          </cell>
          <cell r="P262" t="str">
            <v>Others</v>
          </cell>
        </row>
        <row r="263">
          <cell r="A263">
            <v>5397</v>
          </cell>
          <cell r="O263">
            <v>811035170</v>
          </cell>
          <cell r="P263" t="str">
            <v>Others</v>
          </cell>
        </row>
        <row r="264">
          <cell r="A264">
            <v>5630</v>
          </cell>
          <cell r="O264">
            <v>816419651</v>
          </cell>
          <cell r="P264" t="str">
            <v>Others</v>
          </cell>
        </row>
        <row r="265">
          <cell r="A265">
            <v>5664</v>
          </cell>
          <cell r="O265">
            <v>0</v>
          </cell>
          <cell r="P265" t="str">
            <v>Others</v>
          </cell>
        </row>
        <row r="266">
          <cell r="A266">
            <v>5667</v>
          </cell>
          <cell r="O266">
            <v>0</v>
          </cell>
          <cell r="P266" t="str">
            <v>Others</v>
          </cell>
        </row>
        <row r="267">
          <cell r="A267">
            <v>5668</v>
          </cell>
          <cell r="O267">
            <v>0</v>
          </cell>
          <cell r="P267" t="str">
            <v>Others</v>
          </cell>
        </row>
        <row r="268">
          <cell r="A268">
            <v>5227</v>
          </cell>
          <cell r="O268">
            <v>810646033</v>
          </cell>
          <cell r="P268" t="str">
            <v>Others</v>
          </cell>
        </row>
        <row r="269">
          <cell r="A269">
            <v>5287</v>
          </cell>
          <cell r="O269">
            <v>0</v>
          </cell>
          <cell r="P269" t="str">
            <v>Others</v>
          </cell>
        </row>
        <row r="270">
          <cell r="A270">
            <v>5620</v>
          </cell>
          <cell r="O270">
            <v>803474582</v>
          </cell>
          <cell r="P270" t="str">
            <v>Others</v>
          </cell>
        </row>
        <row r="271">
          <cell r="A271">
            <v>5671</v>
          </cell>
          <cell r="O271">
            <v>0</v>
          </cell>
          <cell r="P271" t="str">
            <v>Others</v>
          </cell>
        </row>
        <row r="272">
          <cell r="A272">
            <v>5064</v>
          </cell>
          <cell r="O272">
            <v>0</v>
          </cell>
          <cell r="P272" t="str">
            <v>Others</v>
          </cell>
        </row>
        <row r="273">
          <cell r="A273">
            <v>5562</v>
          </cell>
          <cell r="O273">
            <v>813404477</v>
          </cell>
          <cell r="P273" t="str">
            <v>Others</v>
          </cell>
        </row>
        <row r="274">
          <cell r="A274">
            <v>4951</v>
          </cell>
          <cell r="O274">
            <v>0</v>
          </cell>
          <cell r="P274" t="str">
            <v>Others</v>
          </cell>
        </row>
        <row r="275">
          <cell r="A275">
            <v>5678</v>
          </cell>
          <cell r="O275">
            <v>0</v>
          </cell>
          <cell r="P275" t="str">
            <v>Others</v>
          </cell>
        </row>
        <row r="276">
          <cell r="A276">
            <v>5653</v>
          </cell>
          <cell r="O276">
            <v>0</v>
          </cell>
          <cell r="P276" t="str">
            <v>Others</v>
          </cell>
        </row>
        <row r="277">
          <cell r="A277">
            <v>5666</v>
          </cell>
          <cell r="O277">
            <v>0</v>
          </cell>
          <cell r="P277" t="str">
            <v>Others</v>
          </cell>
        </row>
        <row r="278">
          <cell r="A278">
            <v>5559</v>
          </cell>
          <cell r="O278">
            <v>813404669</v>
          </cell>
          <cell r="P278" t="str">
            <v>Others</v>
          </cell>
        </row>
        <row r="279">
          <cell r="A279">
            <v>5652</v>
          </cell>
          <cell r="O279">
            <v>0</v>
          </cell>
          <cell r="P279" t="str">
            <v>Others</v>
          </cell>
        </row>
        <row r="280">
          <cell r="A280">
            <v>2364</v>
          </cell>
          <cell r="O280">
            <v>803886915</v>
          </cell>
          <cell r="P280" t="str">
            <v>Others</v>
          </cell>
        </row>
        <row r="281">
          <cell r="A281">
            <v>4409</v>
          </cell>
          <cell r="O281">
            <v>803924453</v>
          </cell>
          <cell r="P281" t="str">
            <v>Others</v>
          </cell>
        </row>
        <row r="282">
          <cell r="A282">
            <v>3652</v>
          </cell>
          <cell r="O282">
            <v>810015212</v>
          </cell>
          <cell r="P282" t="str">
            <v>Others</v>
          </cell>
        </row>
        <row r="283">
          <cell r="A283">
            <v>5485</v>
          </cell>
          <cell r="O283">
            <v>813995810</v>
          </cell>
          <cell r="P283" t="str">
            <v>Others</v>
          </cell>
        </row>
        <row r="284">
          <cell r="A284">
            <v>5174</v>
          </cell>
          <cell r="O284">
            <v>0</v>
          </cell>
          <cell r="P284" t="str">
            <v>SC</v>
          </cell>
        </row>
        <row r="285">
          <cell r="A285">
            <v>4468</v>
          </cell>
          <cell r="O285">
            <v>814162311</v>
          </cell>
          <cell r="P285" t="str">
            <v>SC</v>
          </cell>
        </row>
        <row r="286">
          <cell r="A286">
            <v>5445</v>
          </cell>
          <cell r="O286">
            <v>811591412</v>
          </cell>
          <cell r="P286" t="str">
            <v>Others</v>
          </cell>
        </row>
        <row r="287">
          <cell r="A287">
            <v>5116</v>
          </cell>
          <cell r="O287">
            <v>810395258</v>
          </cell>
          <cell r="P287" t="str">
            <v>SC</v>
          </cell>
        </row>
        <row r="288">
          <cell r="A288">
            <v>2608</v>
          </cell>
          <cell r="O288">
            <v>810027158</v>
          </cell>
          <cell r="P288" t="str">
            <v>Others</v>
          </cell>
        </row>
        <row r="289">
          <cell r="A289">
            <v>5444</v>
          </cell>
          <cell r="O289">
            <v>811591398</v>
          </cell>
          <cell r="P289" t="str">
            <v>Others</v>
          </cell>
        </row>
        <row r="290">
          <cell r="A290">
            <v>4645</v>
          </cell>
          <cell r="O290">
            <v>810456279</v>
          </cell>
          <cell r="P290" t="str">
            <v>SC</v>
          </cell>
        </row>
        <row r="291">
          <cell r="A291">
            <v>5440</v>
          </cell>
          <cell r="O291">
            <v>811591365</v>
          </cell>
          <cell r="P291" t="str">
            <v>Others</v>
          </cell>
        </row>
        <row r="292">
          <cell r="A292">
            <v>5281</v>
          </cell>
          <cell r="O292">
            <v>812058493</v>
          </cell>
          <cell r="P292" t="str">
            <v>Others</v>
          </cell>
        </row>
        <row r="293">
          <cell r="A293">
            <v>5229</v>
          </cell>
          <cell r="O293">
            <v>810455991</v>
          </cell>
          <cell r="P293" t="str">
            <v>Others</v>
          </cell>
        </row>
        <row r="294">
          <cell r="A294">
            <v>5239</v>
          </cell>
          <cell r="O294">
            <v>810456440</v>
          </cell>
          <cell r="P294" t="str">
            <v>Others</v>
          </cell>
        </row>
        <row r="295">
          <cell r="A295">
            <v>4504</v>
          </cell>
          <cell r="O295">
            <v>810456756</v>
          </cell>
          <cell r="P295" t="str">
            <v>Others</v>
          </cell>
        </row>
        <row r="296">
          <cell r="A296">
            <v>5634</v>
          </cell>
          <cell r="O296">
            <v>817055408</v>
          </cell>
          <cell r="P296" t="str">
            <v>Others</v>
          </cell>
        </row>
        <row r="297">
          <cell r="A297">
            <v>4505</v>
          </cell>
          <cell r="O297">
            <v>810456520</v>
          </cell>
          <cell r="P297" t="str">
            <v>Others</v>
          </cell>
        </row>
        <row r="298">
          <cell r="A298">
            <v>2939</v>
          </cell>
          <cell r="O298">
            <v>811591332</v>
          </cell>
          <cell r="P298" t="str">
            <v>Others</v>
          </cell>
        </row>
        <row r="299">
          <cell r="A299">
            <v>0</v>
          </cell>
          <cell r="O299">
            <v>0</v>
          </cell>
        </row>
        <row r="300">
          <cell r="A30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0561-B107-4D8A-94CA-BE1930649B08}">
  <dimension ref="A1:W10"/>
  <sheetViews>
    <sheetView tabSelected="1" workbookViewId="0">
      <selection activeCell="J11" sqref="J11"/>
    </sheetView>
  </sheetViews>
  <sheetFormatPr defaultRowHeight="15" x14ac:dyDescent="0.25"/>
  <sheetData>
    <row r="1" spans="1:23" ht="2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</row>
    <row r="2" spans="1:23" ht="18.75" x14ac:dyDescent="0.25">
      <c r="A2" s="5" t="s">
        <v>1</v>
      </c>
      <c r="B2" s="6"/>
      <c r="C2" s="5"/>
      <c r="D2" s="5"/>
      <c r="E2" s="5"/>
      <c r="F2" s="5"/>
      <c r="G2" s="5"/>
      <c r="H2" s="5"/>
      <c r="I2" s="5"/>
      <c r="J2" s="5"/>
      <c r="K2" s="7" t="s">
        <v>2</v>
      </c>
      <c r="L2" s="5"/>
      <c r="M2" s="5"/>
      <c r="N2" s="8">
        <f>COUNT([1]INS!C11:C13)</f>
        <v>3</v>
      </c>
      <c r="O2" s="9">
        <f>[1]KCC1!S8</f>
        <v>263000</v>
      </c>
      <c r="P2" s="10"/>
      <c r="Q2" s="11"/>
      <c r="R2" s="12" t="s">
        <v>3</v>
      </c>
      <c r="S2" s="13"/>
      <c r="T2" s="14"/>
      <c r="U2" s="15" t="s">
        <v>4</v>
      </c>
      <c r="V2" s="16"/>
      <c r="W2" s="4"/>
    </row>
    <row r="3" spans="1:23" ht="15.75" x14ac:dyDescent="0.25">
      <c r="A3" s="17"/>
      <c r="G3" s="18" t="s">
        <v>4</v>
      </c>
      <c r="H3" s="18"/>
      <c r="I3" s="18"/>
      <c r="J3" s="18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4"/>
    </row>
    <row r="4" spans="1:23" ht="42.75" x14ac:dyDescent="0.25">
      <c r="A4" s="20" t="s">
        <v>5</v>
      </c>
      <c r="B4" s="21" t="s">
        <v>6</v>
      </c>
      <c r="C4" s="22" t="s">
        <v>7</v>
      </c>
      <c r="D4" s="22" t="s">
        <v>8</v>
      </c>
      <c r="E4" s="23"/>
      <c r="F4" s="24" t="s">
        <v>9</v>
      </c>
      <c r="G4" s="24" t="s">
        <v>10</v>
      </c>
      <c r="H4" s="20" t="s">
        <v>11</v>
      </c>
      <c r="I4" s="20" t="s">
        <v>12</v>
      </c>
      <c r="J4" s="20" t="s">
        <v>13</v>
      </c>
      <c r="K4" s="20" t="s">
        <v>14</v>
      </c>
      <c r="L4" s="20" t="s">
        <v>15</v>
      </c>
      <c r="M4" s="21" t="s">
        <v>16</v>
      </c>
      <c r="N4" s="21" t="s">
        <v>17</v>
      </c>
      <c r="O4" s="21" t="s">
        <v>18</v>
      </c>
      <c r="P4" s="22" t="s">
        <v>19</v>
      </c>
      <c r="Q4" s="21" t="s">
        <v>20</v>
      </c>
      <c r="R4" s="21" t="s">
        <v>21</v>
      </c>
      <c r="S4" s="21" t="s">
        <v>22</v>
      </c>
      <c r="T4" s="21" t="s">
        <v>23</v>
      </c>
      <c r="U4" s="21" t="s">
        <v>24</v>
      </c>
      <c r="V4" s="25" t="s">
        <v>25</v>
      </c>
      <c r="W4" s="26"/>
    </row>
    <row r="5" spans="1:23" ht="28.5" x14ac:dyDescent="0.25">
      <c r="A5" s="27">
        <v>1</v>
      </c>
      <c r="B5" s="28">
        <v>5178</v>
      </c>
      <c r="C5" s="27">
        <f>IFERROR(INDEX([1]KCC1!D:D, MATCH(B5, [1]KCC1!$C:$C, 0)), "Not")</f>
        <v>842</v>
      </c>
      <c r="D5" s="27">
        <f>IFERROR(INDEX([1]KCC1!E:E, MATCH(B5, [1]KCC1!$C:$C, 0)), "Not")</f>
        <v>102596</v>
      </c>
      <c r="E5" s="27" t="str">
        <f>IFERROR(INDEX([1]KCC1!F:F, MATCH(B5, [1]KCC1!$C:$C, 0)), "Not")</f>
        <v>P</v>
      </c>
      <c r="F5" s="29" t="str">
        <f>IFERROR(INDEX([1]KCC1!G:G, MATCH(B5, [1]KCC1!$C:$C, 0)), "Not")</f>
        <v>Kj;Jtp[ad;</v>
      </c>
      <c r="G5" s="30" t="str">
        <f>IFERROR(INDEX([1]KCC1!K:K, MATCH(B5, [1]KCC1!$C:$C, 0)), "Not")</f>
        <v>34/4</v>
      </c>
      <c r="H5" s="31">
        <f>IFERROR(INDEX([1]KCC1!L:L, MATCH(B5, [1]KCC1!$C:$C, 0)), "Not")</f>
        <v>0.85</v>
      </c>
      <c r="I5" s="29" t="str">
        <f>IFERROR(INDEX([1]KCC1!M:M, MATCH(B5, [1]KCC1!$C:$C, 0)), "Not")</f>
        <v>Vyk;</v>
      </c>
      <c r="J5" s="31">
        <f>IFERROR(INDEX([1]KCC1!N:N, MATCH(B5, [1]KCC1!$C:$C, 0)), "Not")</f>
        <v>0</v>
      </c>
      <c r="K5" s="31">
        <f>IFERROR(INDEX([1]KCC1!O:O, MATCH(B5, [1]KCC1!$C:$C, 0)), "Not")</f>
        <v>4505</v>
      </c>
      <c r="L5" s="31">
        <f>IFERROR(INDEX([1]KCC1!P:P, MATCH(B5, [1]KCC1!$C:$C, 0)), "Not")</f>
        <v>4505</v>
      </c>
      <c r="M5" s="31">
        <f>IFERROR(INDEX([1]KCC1!Q:Q, MATCH(B5, [1]KCC1!$C:$C, 0)), "Not")</f>
        <v>3867</v>
      </c>
      <c r="N5" s="31">
        <f>IFERROR(INDEX([1]KCC1!R:R, MATCH(B5, [1]KCC1!$C:$C, 0)), "Not")</f>
        <v>45123</v>
      </c>
      <c r="O5" s="31">
        <f>IFERROR(INDEX([1]KCC1!S:S, MATCH(B5, [1]KCC1!$C:$C, 0)), "Not")</f>
        <v>58000</v>
      </c>
      <c r="P5" s="31">
        <f>IFERROR(INDEX([1]KCC1!O:O, MATCH(B5, [1]KCC1!$C:$C, 0)), "Not")</f>
        <v>4505</v>
      </c>
      <c r="Q5" s="31">
        <v>300</v>
      </c>
      <c r="R5" s="32">
        <v>0</v>
      </c>
      <c r="S5" s="32">
        <v>0</v>
      </c>
      <c r="T5" s="32">
        <f t="shared" ref="T5:T7" si="0">K5+Q5+R5+S5</f>
        <v>4805</v>
      </c>
      <c r="U5" s="32">
        <f t="shared" ref="U5:U7" si="1">O5-T5</f>
        <v>53195</v>
      </c>
      <c r="V5" s="33">
        <f>IFERROR(INDEX([2]Data!O:O, MATCH(B5, [2]Data!$A:$A, 0)), "Not")</f>
        <v>809972069</v>
      </c>
      <c r="W5" s="26" t="str">
        <f>IFERROR(INDEX([2]Data!P:P, MATCH(B5, [2]Data!$A:$A, 0)), "Not")</f>
        <v>Others</v>
      </c>
    </row>
    <row r="6" spans="1:23" ht="28.5" x14ac:dyDescent="0.25">
      <c r="A6" s="27">
        <v>2</v>
      </c>
      <c r="B6" s="28">
        <v>5595</v>
      </c>
      <c r="C6" s="27">
        <f>IFERROR(INDEX([1]KCC1!D:D, MATCH(B6, [1]KCC1!$C:$C, 0)), "Not")</f>
        <v>1264</v>
      </c>
      <c r="D6" s="27">
        <f>IFERROR(INDEX([1]KCC1!E:E, MATCH(B6, [1]KCC1!$C:$C, 0)), "Not")</f>
        <v>103013</v>
      </c>
      <c r="E6" s="27" t="str">
        <f>IFERROR(INDEX([1]KCC1!F:F, MATCH(B6, [1]KCC1!$C:$C, 0)), "Not")</f>
        <v>K</v>
      </c>
      <c r="F6" s="29" t="str">
        <f>IFERROR(INDEX([1]KCC1!G:G, MATCH(B6, [1]KCC1!$C:$C, 0)), "Not")</f>
        <v>Njtpfh uhzp</v>
      </c>
      <c r="G6" s="30" t="str">
        <f>IFERROR(INDEX([1]KCC1!K:K, MATCH(B6, [1]KCC1!$C:$C, 0)), "Not")</f>
        <v>20/2--2</v>
      </c>
      <c r="H6" s="31">
        <f>IFERROR(INDEX([1]KCC1!L:L, MATCH(B6, [1]KCC1!$C:$C, 0)), "Not")</f>
        <v>2</v>
      </c>
      <c r="I6" s="29" t="str">
        <f>IFERROR(INDEX([1]KCC1!M:M, MATCH(B6, [1]KCC1!$C:$C, 0)), "Not")</f>
        <v>Vyk;</v>
      </c>
      <c r="J6" s="31">
        <f>IFERROR(INDEX([1]KCC1!N:N, MATCH(B6, [1]KCC1!$C:$C, 0)), "Not")</f>
        <v>0</v>
      </c>
      <c r="K6" s="31">
        <f>IFERROR(INDEX([1]KCC1!O:O, MATCH(B6, [1]KCC1!$C:$C, 0)), "Not")</f>
        <v>8480</v>
      </c>
      <c r="L6" s="31">
        <f>IFERROR(INDEX([1]KCC1!P:P, MATCH(B6, [1]KCC1!$C:$C, 0)), "Not")</f>
        <v>8480</v>
      </c>
      <c r="M6" s="31">
        <f>IFERROR(INDEX([1]KCC1!Q:Q, MATCH(B6, [1]KCC1!$C:$C, 0)), "Not")</f>
        <v>7280</v>
      </c>
      <c r="N6" s="31">
        <f>IFERROR(INDEX([1]KCC1!R:R, MATCH(B6, [1]KCC1!$C:$C, 0)), "Not")</f>
        <v>84760</v>
      </c>
      <c r="O6" s="31">
        <f>IFERROR(INDEX([1]KCC1!S:S, MATCH(B6, [1]KCC1!$C:$C, 0)), "Not")</f>
        <v>109000</v>
      </c>
      <c r="P6" s="31">
        <f>IFERROR(INDEX([1]KCC1!O:O, MATCH(B6, [1]KCC1!$C:$C, 0)), "Not")</f>
        <v>8480</v>
      </c>
      <c r="Q6" s="31">
        <v>300</v>
      </c>
      <c r="R6" s="32">
        <v>0</v>
      </c>
      <c r="S6" s="32">
        <v>500</v>
      </c>
      <c r="T6" s="32">
        <f t="shared" si="0"/>
        <v>9280</v>
      </c>
      <c r="U6" s="32">
        <f t="shared" si="1"/>
        <v>99720</v>
      </c>
      <c r="V6" s="33">
        <f>IFERROR(INDEX([2]Data!O:O, MATCH(B6, [2]Data!$A:$A, 0)), "Not")</f>
        <v>814780235</v>
      </c>
      <c r="W6" s="26" t="str">
        <f>IFERROR(INDEX([2]Data!P:P, MATCH(B6, [2]Data!$A:$A, 0)), "Not")</f>
        <v>Others</v>
      </c>
    </row>
    <row r="7" spans="1:23" ht="28.5" x14ac:dyDescent="0.25">
      <c r="A7" s="27">
        <v>3</v>
      </c>
      <c r="B7" s="28">
        <v>5634</v>
      </c>
      <c r="C7" s="27">
        <f>IFERROR(INDEX([1]KCC1!D:D, MATCH(B7, [1]KCC1!$C:$C, 0)), "Not")</f>
        <v>1338</v>
      </c>
      <c r="D7" s="27">
        <f>IFERROR(INDEX([1]KCC1!E:E, MATCH(B7, [1]KCC1!$C:$C, 0)), "Not")</f>
        <v>103055</v>
      </c>
      <c r="E7" s="27" t="str">
        <f>IFERROR(INDEX([1]KCC1!F:F, MATCH(B7, [1]KCC1!$C:$C, 0)), "Not")</f>
        <v>M</v>
      </c>
      <c r="F7" s="29" t="str">
        <f>IFERROR(INDEX([1]KCC1!G:G, MATCH(B7, [1]KCC1!$C:$C, 0)), "Not")</f>
        <v>KUNf];thp</v>
      </c>
      <c r="G7" s="30" t="str">
        <f>IFERROR(INDEX([1]KCC1!K:K, MATCH(B7, [1]KCC1!$C:$C, 0)), "Not")</f>
        <v>781/2B</v>
      </c>
      <c r="H7" s="31">
        <f>IFERROR(INDEX([1]KCC1!L:L, MATCH(B7, [1]KCC1!$C:$C, 0)), "Not")</f>
        <v>2.2999999999999998</v>
      </c>
      <c r="I7" s="29" t="str">
        <f>IFERROR(INDEX([1]KCC1!M:M, MATCH(B7, [1]KCC1!$C:$C, 0)), "Not")</f>
        <v>njd;id</v>
      </c>
      <c r="J7" s="31">
        <f>IFERROR(INDEX([1]KCC1!N:N, MATCH(B7, [1]KCC1!$C:$C, 0)), "Not")</f>
        <v>0</v>
      </c>
      <c r="K7" s="31">
        <f>IFERROR(INDEX([1]KCC1!O:O, MATCH(B7, [1]KCC1!$C:$C, 0)), "Not")</f>
        <v>5233</v>
      </c>
      <c r="L7" s="31">
        <f>IFERROR(INDEX([1]KCC1!P:P, MATCH(B7, [1]KCC1!$C:$C, 0)), "Not")</f>
        <v>5232</v>
      </c>
      <c r="M7" s="31">
        <f>IFERROR(INDEX([1]KCC1!Q:Q, MATCH(B7, [1]KCC1!$C:$C, 0)), "Not")</f>
        <v>5290</v>
      </c>
      <c r="N7" s="31">
        <f>IFERROR(INDEX([1]KCC1!R:R, MATCH(B7, [1]KCC1!$C:$C, 0)), "Not")</f>
        <v>80245</v>
      </c>
      <c r="O7" s="31">
        <f>IFERROR(INDEX([1]KCC1!S:S, MATCH(B7, [1]KCC1!$C:$C, 0)), "Not")</f>
        <v>96000</v>
      </c>
      <c r="P7" s="31">
        <f>IFERROR(INDEX([1]KCC1!O:O, MATCH(B7, [1]KCC1!$C:$C, 0)), "Not")</f>
        <v>5233</v>
      </c>
      <c r="Q7" s="31">
        <v>300</v>
      </c>
      <c r="R7" s="32">
        <v>0</v>
      </c>
      <c r="S7" s="32">
        <v>0</v>
      </c>
      <c r="T7" s="32">
        <f t="shared" si="0"/>
        <v>5533</v>
      </c>
      <c r="U7" s="32">
        <f t="shared" si="1"/>
        <v>90467</v>
      </c>
      <c r="V7" s="33">
        <f>IFERROR(INDEX([2]Data!O:O, MATCH(B7, [2]Data!$A:$A, 0)), "Not")</f>
        <v>817055408</v>
      </c>
      <c r="W7" s="26" t="str">
        <f>IFERROR(INDEX([2]Data!P:P, MATCH(B7, [2]Data!$A:$A, 0)), "Not")</f>
        <v>Others</v>
      </c>
    </row>
    <row r="8" spans="1:23" ht="15.75" x14ac:dyDescent="0.25">
      <c r="A8" s="17"/>
      <c r="B8" s="34"/>
      <c r="H8" s="35">
        <f>SUM(H5:H7)</f>
        <v>5.15</v>
      </c>
      <c r="I8" s="36"/>
      <c r="J8" s="37">
        <f t="shared" ref="J8:U8" si="2">SUM(J5:J7)</f>
        <v>0</v>
      </c>
      <c r="K8" s="37">
        <f t="shared" si="2"/>
        <v>18218</v>
      </c>
      <c r="L8" s="37">
        <f t="shared" si="2"/>
        <v>18217</v>
      </c>
      <c r="M8" s="37">
        <f t="shared" si="2"/>
        <v>16437</v>
      </c>
      <c r="N8" s="37">
        <f t="shared" si="2"/>
        <v>210128</v>
      </c>
      <c r="O8" s="37">
        <f t="shared" si="2"/>
        <v>263000</v>
      </c>
      <c r="P8" s="37">
        <f t="shared" si="2"/>
        <v>18218</v>
      </c>
      <c r="Q8" s="37">
        <f t="shared" si="2"/>
        <v>900</v>
      </c>
      <c r="R8" s="37">
        <f t="shared" si="2"/>
        <v>0</v>
      </c>
      <c r="S8" s="37">
        <f t="shared" si="2"/>
        <v>500</v>
      </c>
      <c r="T8" s="37">
        <f t="shared" si="2"/>
        <v>19618</v>
      </c>
      <c r="U8" s="37">
        <f t="shared" si="2"/>
        <v>243382</v>
      </c>
      <c r="V8" s="38"/>
      <c r="W8" s="39"/>
    </row>
    <row r="9" spans="1:23" x14ac:dyDescent="0.25">
      <c r="A9" s="17"/>
      <c r="J9" s="40"/>
      <c r="V9" s="17"/>
      <c r="W9" s="4"/>
    </row>
    <row r="10" spans="1:23" x14ac:dyDescent="0.25">
      <c r="A10" s="17"/>
      <c r="V10" s="17"/>
      <c r="W10" s="4"/>
    </row>
  </sheetData>
  <mergeCells count="5">
    <mergeCell ref="A1:V1"/>
    <mergeCell ref="O2:Q2"/>
    <mergeCell ref="R2:T2"/>
    <mergeCell ref="U2:V2"/>
    <mergeCell ref="G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a49860</dc:creator>
  <cp:lastModifiedBy>a49860</cp:lastModifiedBy>
  <dcterms:created xsi:type="dcterms:W3CDTF">2026-07-17T12:12:26Z</dcterms:created>
  <dcterms:modified xsi:type="dcterms:W3CDTF">2026-07-17T12:13:45Z</dcterms:modified>
</cp:coreProperties>
</file>