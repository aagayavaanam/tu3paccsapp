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KCC\"/>
    </mc:Choice>
  </mc:AlternateContent>
  <xr:revisionPtr revIDLastSave="0" documentId="13_ncr:1_{DC3240EF-8234-4777-8EDD-5F22C195A8CC}" xr6:coauthVersionLast="47" xr6:coauthVersionMax="47" xr10:uidLastSave="{00000000-0000-0000-0000-000000000000}"/>
  <bookViews>
    <workbookView xWindow="-120" yWindow="-120" windowWidth="20730" windowHeight="11040" xr2:uid="{CC1102CD-942B-488E-9D3A-C9E69DCC36C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34" i="1" l="1"/>
  <c r="K34" i="1"/>
  <c r="K33" i="1"/>
  <c r="AA32" i="1"/>
  <c r="K32" i="1"/>
  <c r="AA31" i="1"/>
  <c r="K31" i="1"/>
  <c r="AA30" i="1"/>
  <c r="AA36" i="1" s="1"/>
  <c r="K30" i="1"/>
  <c r="K36" i="1" s="1"/>
  <c r="B16" i="1"/>
  <c r="S15" i="1"/>
</calcChain>
</file>

<file path=xl/sharedStrings.xml><?xml version="1.0" encoding="utf-8"?>
<sst xmlns="http://schemas.openxmlformats.org/spreadsheetml/2006/main" count="37" uniqueCount="36">
  <si>
    <t>Loan No</t>
  </si>
  <si>
    <t>Date</t>
  </si>
  <si>
    <t xml:space="preserve">THE MADURAI DISTRICT CENTRAL CO-OPERATIVE BANK LTD., </t>
  </si>
  <si>
    <t>THEVARAM BRANCH</t>
  </si>
  <si>
    <t>Subject   KCC 1</t>
  </si>
  <si>
    <t>Reference No. RCL No:107/25-26/P1  Dt:15.04.2026</t>
  </si>
  <si>
    <r>
      <t>Draft for approval / Note</t>
    </r>
    <r>
      <rPr>
        <b/>
        <u/>
        <sz val="15"/>
        <color theme="1"/>
        <rFont val="Bamini"/>
        <family val="2"/>
      </rPr>
      <t>mYtyfFwpg;G</t>
    </r>
  </si>
  <si>
    <r>
      <t>T.U</t>
    </r>
    <r>
      <rPr>
        <b/>
        <sz val="12"/>
        <color theme="1"/>
        <rFont val="Bamini"/>
        <family val="2"/>
      </rPr>
      <t>.3 Njthuk; njhlf;fNtshz;ik $l;LwTfld; rq;fj;jpw;F kj;jpa</t>
    </r>
  </si>
  <si>
    <r>
      <t xml:space="preserve">tq;fpapypUe;J rhq;\dhfp tuthd </t>
    </r>
    <r>
      <rPr>
        <b/>
        <sz val="12"/>
        <color rgb="FF000000"/>
        <rFont val="Times New Roman"/>
        <family val="1"/>
      </rPr>
      <t>RCL-107/25-26/P1  Dt:15.04.2026</t>
    </r>
    <r>
      <rPr>
        <b/>
        <sz val="12"/>
        <color theme="1"/>
        <rFont val="Bamini"/>
        <family val="2"/>
      </rPr>
      <t xml:space="preserve">; gb </t>
    </r>
  </si>
  <si>
    <r>
      <rPr>
        <b/>
        <sz val="12"/>
        <color theme="1"/>
        <rFont val="Times New Roman"/>
        <family val="1"/>
      </rPr>
      <t>KCC</t>
    </r>
    <r>
      <rPr>
        <b/>
        <sz val="12"/>
        <color theme="1"/>
        <rFont val="Bamini"/>
        <family val="2"/>
      </rPr>
      <t xml:space="preserve"> gapH flDf;F&amp;.300.00.yl;rk;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Bamini"/>
        <family val="2"/>
      </rPr>
      <t>-rhq;\d;  ngwg;gl;ljpy; rq;feph;thff;FO</t>
    </r>
  </si>
  <si>
    <r>
      <t>jPh;khdvz;: 1; ehs;:</t>
    </r>
    <r>
      <rPr>
        <b/>
        <sz val="12"/>
        <color theme="1"/>
        <rFont val="Arial"/>
        <family val="2"/>
      </rPr>
      <t>…………………</t>
    </r>
    <r>
      <rPr>
        <b/>
        <sz val="12"/>
        <color theme="1"/>
        <rFont val="Bamini"/>
        <family val="2"/>
      </rPr>
      <t>.d; gb</t>
    </r>
  </si>
  <si>
    <r>
      <rPr>
        <b/>
        <sz val="12"/>
        <color theme="1"/>
        <rFont val="Bamini"/>
        <family val="2"/>
      </rPr>
      <t xml:space="preserve">egUf;F </t>
    </r>
    <r>
      <rPr>
        <b/>
        <sz val="12"/>
        <color theme="1"/>
        <rFont val="Times New Roman"/>
        <family val="1"/>
      </rPr>
      <t xml:space="preserve">KCC </t>
    </r>
    <r>
      <rPr>
        <b/>
        <sz val="12"/>
        <color theme="1"/>
        <rFont val="Bamini"/>
        <family val="2"/>
      </rPr>
      <t>fhhpaj;jpw;F</t>
    </r>
  </si>
  <si>
    <r>
      <t xml:space="preserve">fhNrhiy vz; </t>
    </r>
    <r>
      <rPr>
        <b/>
        <sz val="12"/>
        <color theme="1"/>
        <rFont val="Arial"/>
        <family val="2"/>
      </rPr>
      <t>……………….…</t>
    </r>
    <r>
      <rPr>
        <b/>
        <sz val="12"/>
        <color theme="1"/>
        <rFont val="Bamini"/>
        <family val="2"/>
      </rPr>
      <t xml:space="preserve"> %yk; fld; Nfhhp jPh;khdk;</t>
    </r>
  </si>
  <si>
    <t>,aw;wpAs;sJ.</t>
  </si>
  <si>
    <t>Nkw;gbrq;fj;jpw;F rufNkw;ghh;itahsh;      2025 e; Njjpapy; fld; mDkjp</t>
  </si>
  <si>
    <t>cj;jutpy; fz;Ls;s epge;jidfis epth;j;jp nra;Js;snjd;Wk; fld; thq;fpa</t>
  </si>
  <si>
    <t>egh;fs; Kiwahf jpUg;gpr; nrYj;jptpl;lhh;fs; vd;Wk; flDf;Fhpa rpl;lh</t>
  </si>
  <si>
    <t xml:space="preserve">Mtzq;fis rhpghh;f;fg;gl;L rhpahf cs;snjd;Wk; NghjpasT gq;Fj;njhif </t>
  </si>
  <si>
    <t xml:space="preserve">cs;snjd;Wk; Mz;Lf; fldsT gaph; ml;ltizf;F cl;gl;Ls;sJ vd rhd;W </t>
  </si>
  <si>
    <t>nra;Js;shh;. ,jw;F Kd;ngw;w gl;Lthlh [hgpjhTk; rhd;W nra;J ,j;Jld;</t>
  </si>
  <si>
    <t xml:space="preserve">,izf;fg;gl;Ls;sJ. rq;f Nf.rp.rp fld; fzf;fpy; gw;W vOjp rq;f </t>
  </si>
  <si>
    <t>cWg;gpdh;fs; Nf.rp.rp elg;Gfzf;fpy; &lt;Lnra;J gl;Lthlh toq;f  fPo;fz;lthW</t>
  </si>
  <si>
    <t xml:space="preserve">ghpe;Jiu nra;Js;shh;. ruf Nkw;ghh;itahsh; ghpe;Jiuia Vw;W gl;Lthlh </t>
  </si>
  <si>
    <t>toq;f fpis Nkyhsh; mDkjpf;F</t>
  </si>
  <si>
    <t>tpij</t>
  </si>
  <si>
    <t>rq;f elg;G fzf;F</t>
  </si>
  <si>
    <t>,urhad cuk;</t>
  </si>
  <si>
    <t>fhRf;fld; - 6</t>
  </si>
  <si>
    <t>njhO cuk;</t>
  </si>
  <si>
    <t>jdpegH tpgj;Jf; fhg;gPL</t>
  </si>
  <si>
    <t>G+r;rp kUe;J</t>
  </si>
  <si>
    <t>gapH fhg;gPL</t>
  </si>
  <si>
    <t>nuhf;fk;</t>
  </si>
  <si>
    <t>cWg;gpdH Nrkpg;G fzf;F</t>
  </si>
  <si>
    <t>rpf;fdk; - ,juk;</t>
  </si>
  <si>
    <t>nkhj;jk;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</si>
</sst>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5"/>
      <color theme="1"/>
      <name val="Times New Roman"/>
      <family val="1"/>
    </font>
    <font>
      <b/>
      <u/>
      <sz val="15"/>
      <color theme="1"/>
      <name val="Bamini"/>
      <family val="2"/>
    </font>
    <font>
      <b/>
      <sz val="12"/>
      <color theme="1"/>
      <name val="Bamini"/>
      <family val="2"/>
    </font>
    <font>
      <b/>
      <sz val="12"/>
      <color rgb="FF000000"/>
      <name val="Times New Roman"/>
      <family val="1"/>
    </font>
    <font>
      <b/>
      <sz val="12"/>
      <color theme="1"/>
      <name val="Bamini"/>
      <family val="1"/>
    </font>
    <font>
      <b/>
      <sz val="12"/>
      <color theme="1"/>
      <name val="Arial"/>
      <family val="2"/>
    </font>
    <font>
      <b/>
      <sz val="12"/>
      <color theme="1"/>
      <name val="Times New Roman"/>
      <family val="2"/>
    </font>
    <font>
      <sz val="12"/>
      <color theme="1"/>
      <name val="Bamini"/>
      <family val="2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8" xfId="0" applyFont="1" applyBorder="1"/>
    <xf numFmtId="0" fontId="0" fillId="0" borderId="9" xfId="0" applyBorder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0" xfId="0" applyFont="1"/>
    <xf numFmtId="164" fontId="2" fillId="0" borderId="1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2" fillId="0" borderId="1" xfId="0" applyFont="1" applyBorder="1"/>
    <xf numFmtId="0" fontId="10" fillId="0" borderId="1" xfId="0" applyFont="1" applyBorder="1"/>
    <xf numFmtId="0" fontId="9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0" xfId="0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5" fillId="0" borderId="8" xfId="0" applyFont="1" applyBorder="1"/>
    <xf numFmtId="0" fontId="9" fillId="0" borderId="8" xfId="0" applyFont="1" applyBorder="1"/>
    <xf numFmtId="0" fontId="10" fillId="0" borderId="4" xfId="0" applyFont="1" applyBorder="1"/>
    <xf numFmtId="0" fontId="0" fillId="0" borderId="10" xfId="0" applyBorder="1"/>
    <xf numFmtId="0" fontId="5" fillId="0" borderId="2" xfId="0" applyFont="1" applyBorder="1"/>
    <xf numFmtId="1" fontId="1" fillId="0" borderId="1" xfId="0" applyNumberFormat="1" applyFont="1" applyBorder="1" applyAlignment="1">
      <alignment horizontal="right"/>
    </xf>
    <xf numFmtId="1" fontId="11" fillId="0" borderId="2" xfId="0" applyNumberFormat="1" applyFont="1" applyBorder="1" applyAlignment="1">
      <alignment horizontal="right"/>
    </xf>
    <xf numFmtId="1" fontId="11" fillId="0" borderId="3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d%202.xlsx" TargetMode="External"/><Relationship Id="rId2" Type="http://schemas.openxmlformats.org/officeDocument/2006/relationships/externalLinkPath" Target="file:///C:\Users\ELCOT\Desktop\Pad%202.xlsx" TargetMode="External"/><Relationship Id="rId1" Type="http://schemas.openxmlformats.org/officeDocument/2006/relationships/externalLinkPath" Target="/Users/ELCOT/Desktop/Pa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CC1"/>
      <sheetName val="KCC2"/>
      <sheetName val="Corp"/>
      <sheetName val="INS"/>
      <sheetName val="Front"/>
      <sheetName val="Note order"/>
      <sheetName val="Jabitha"/>
      <sheetName val="Sign"/>
    </sheetNames>
    <sheetDataSet>
      <sheetData sheetId="0"/>
      <sheetData sheetId="1">
        <row r="8">
          <cell r="J8">
            <v>0</v>
          </cell>
          <cell r="K8">
            <v>18218</v>
          </cell>
          <cell r="L8">
            <v>18217</v>
          </cell>
          <cell r="M8">
            <v>16437</v>
          </cell>
          <cell r="N8">
            <v>210128</v>
          </cell>
          <cell r="O8">
            <v>263000</v>
          </cell>
          <cell r="Q8">
            <v>900</v>
          </cell>
          <cell r="R8">
            <v>0</v>
          </cell>
          <cell r="S8">
            <v>500</v>
          </cell>
          <cell r="U8">
            <v>243382</v>
          </cell>
        </row>
      </sheetData>
      <sheetData sheetId="2"/>
      <sheetData sheetId="3">
        <row r="11">
          <cell r="B11">
            <v>1</v>
          </cell>
        </row>
        <row r="12">
          <cell r="B12">
            <v>2</v>
          </cell>
        </row>
        <row r="13">
          <cell r="B13">
            <v>3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D2E7-4C3F-407D-876D-273D03BB5DF7}">
  <dimension ref="B2:AG36"/>
  <sheetViews>
    <sheetView tabSelected="1" workbookViewId="0">
      <selection activeCell="AQ9" sqref="AQ9"/>
    </sheetView>
  </sheetViews>
  <sheetFormatPr defaultColWidth="2.7109375" defaultRowHeight="15" x14ac:dyDescent="0.25"/>
  <sheetData>
    <row r="2" spans="2:33" x14ac:dyDescent="0.25">
      <c r="B2" s="1" t="s">
        <v>0</v>
      </c>
      <c r="C2" s="2"/>
      <c r="D2" s="2"/>
      <c r="E2" s="2"/>
      <c r="F2" s="2"/>
      <c r="G2" s="2"/>
      <c r="H2" s="2"/>
      <c r="I2" s="3"/>
      <c r="Z2" s="1" t="s">
        <v>1</v>
      </c>
      <c r="AA2" s="2"/>
      <c r="AB2" s="2"/>
      <c r="AC2" s="2"/>
      <c r="AD2" s="2"/>
      <c r="AE2" s="2"/>
      <c r="AF2" s="2"/>
      <c r="AG2" s="3"/>
    </row>
    <row r="4" spans="2:33" ht="18.75" x14ac:dyDescent="0.3"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2:33" ht="18.75" x14ac:dyDescent="0.3">
      <c r="B5" s="7"/>
      <c r="C5" s="8"/>
      <c r="D5" s="8"/>
      <c r="E5" s="8"/>
      <c r="F5" s="8"/>
      <c r="G5" s="8"/>
      <c r="H5" s="8"/>
      <c r="I5" s="8"/>
      <c r="J5" s="9" t="s">
        <v>3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10"/>
    </row>
    <row r="7" spans="2:33" ht="15.75" x14ac:dyDescent="0.25">
      <c r="B7" s="11" t="s">
        <v>4</v>
      </c>
    </row>
    <row r="8" spans="2:33" ht="15.75" x14ac:dyDescent="0.25">
      <c r="B8" s="12" t="s">
        <v>5</v>
      </c>
    </row>
    <row r="10" spans="2:33" ht="19.5" x14ac:dyDescent="0.25">
      <c r="G10" s="13" t="s">
        <v>6</v>
      </c>
    </row>
    <row r="12" spans="2:33" ht="15.75" x14ac:dyDescent="0.25">
      <c r="D12" s="12" t="s">
        <v>7</v>
      </c>
    </row>
    <row r="13" spans="2:33" ht="15.75" x14ac:dyDescent="0.25">
      <c r="B13" s="14" t="s">
        <v>8</v>
      </c>
    </row>
    <row r="14" spans="2:33" ht="15.75" x14ac:dyDescent="0.25">
      <c r="B14" s="15" t="s">
        <v>9</v>
      </c>
    </row>
    <row r="15" spans="2:33" ht="15.75" x14ac:dyDescent="0.25">
      <c r="B15" s="14" t="s">
        <v>10</v>
      </c>
      <c r="S15" s="16">
        <f>COUNT([1]INS!B11:B14)</f>
        <v>3</v>
      </c>
      <c r="T15" s="17"/>
      <c r="V15" s="18" t="s">
        <v>11</v>
      </c>
    </row>
    <row r="16" spans="2:33" ht="15.75" x14ac:dyDescent="0.25">
      <c r="B16" s="19">
        <f>[1]KCC2!O8</f>
        <v>263000</v>
      </c>
      <c r="C16" s="20"/>
      <c r="D16" s="20"/>
      <c r="E16" s="20"/>
      <c r="F16" s="20"/>
      <c r="G16" s="21"/>
      <c r="H16" s="14" t="s">
        <v>12</v>
      </c>
    </row>
    <row r="17" spans="2:32" ht="15.75" x14ac:dyDescent="0.25">
      <c r="B17" s="14" t="s">
        <v>13</v>
      </c>
    </row>
    <row r="19" spans="2:32" ht="15.75" x14ac:dyDescent="0.25">
      <c r="C19" s="14" t="s">
        <v>14</v>
      </c>
    </row>
    <row r="20" spans="2:32" ht="15.75" x14ac:dyDescent="0.25">
      <c r="B20" s="14" t="s">
        <v>15</v>
      </c>
    </row>
    <row r="21" spans="2:32" ht="15.75" x14ac:dyDescent="0.25">
      <c r="B21" s="14" t="s">
        <v>16</v>
      </c>
    </row>
    <row r="22" spans="2:32" ht="15.75" x14ac:dyDescent="0.25">
      <c r="B22" s="14" t="s">
        <v>17</v>
      </c>
    </row>
    <row r="23" spans="2:32" ht="15.75" x14ac:dyDescent="0.25">
      <c r="B23" s="14" t="s">
        <v>18</v>
      </c>
    </row>
    <row r="24" spans="2:32" ht="15.75" x14ac:dyDescent="0.25">
      <c r="B24" s="14" t="s">
        <v>19</v>
      </c>
    </row>
    <row r="25" spans="2:32" ht="15.75" x14ac:dyDescent="0.25">
      <c r="B25" s="14" t="s">
        <v>20</v>
      </c>
    </row>
    <row r="26" spans="2:32" ht="15.75" x14ac:dyDescent="0.25">
      <c r="B26" s="14" t="s">
        <v>21</v>
      </c>
    </row>
    <row r="27" spans="2:32" ht="15.75" x14ac:dyDescent="0.25">
      <c r="B27" s="14" t="s">
        <v>22</v>
      </c>
    </row>
    <row r="28" spans="2:32" ht="15.75" x14ac:dyDescent="0.25">
      <c r="B28" s="14" t="s">
        <v>23</v>
      </c>
    </row>
    <row r="30" spans="2:32" ht="15.75" x14ac:dyDescent="0.25">
      <c r="C30" s="22">
        <v>1</v>
      </c>
      <c r="D30" s="23" t="s">
        <v>24</v>
      </c>
      <c r="E30" s="2"/>
      <c r="F30" s="2"/>
      <c r="G30" s="24"/>
      <c r="H30" s="24"/>
      <c r="I30" s="24"/>
      <c r="J30" s="3"/>
      <c r="K30" s="25">
        <f>[1]KCC2!J8</f>
        <v>0</v>
      </c>
      <c r="L30" s="26"/>
      <c r="M30" s="26"/>
      <c r="N30" s="26"/>
      <c r="O30" s="26"/>
      <c r="P30" s="27">
        <v>1</v>
      </c>
      <c r="Q30" s="23" t="s">
        <v>25</v>
      </c>
      <c r="R30" s="2"/>
      <c r="S30" s="2"/>
      <c r="T30" s="2"/>
      <c r="U30" s="2"/>
      <c r="V30" s="2"/>
      <c r="W30" s="2"/>
      <c r="X30" s="2"/>
      <c r="Y30" s="2"/>
      <c r="Z30" s="3"/>
      <c r="AA30" s="28">
        <f>[1]KCC2!Q8+[1]KCC2!S8</f>
        <v>1400</v>
      </c>
      <c r="AB30" s="29"/>
      <c r="AC30" s="29"/>
      <c r="AD30" s="29"/>
      <c r="AE30" s="29"/>
      <c r="AF30" s="25"/>
    </row>
    <row r="31" spans="2:32" ht="15.75" x14ac:dyDescent="0.25">
      <c r="C31" s="27">
        <v>2</v>
      </c>
      <c r="D31" s="23" t="s">
        <v>26</v>
      </c>
      <c r="E31" s="2"/>
      <c r="F31" s="2"/>
      <c r="G31" s="24"/>
      <c r="H31" s="24"/>
      <c r="I31" s="24"/>
      <c r="J31" s="3"/>
      <c r="K31" s="25">
        <f>[1]KCC2!K8</f>
        <v>18218</v>
      </c>
      <c r="L31" s="26"/>
      <c r="M31" s="26"/>
      <c r="N31" s="26"/>
      <c r="O31" s="26"/>
      <c r="P31" s="27">
        <v>2</v>
      </c>
      <c r="Q31" s="23" t="s">
        <v>27</v>
      </c>
      <c r="R31" s="2"/>
      <c r="S31" s="2"/>
      <c r="T31" s="2"/>
      <c r="U31" s="2"/>
      <c r="V31" s="2"/>
      <c r="W31" s="2"/>
      <c r="X31" s="2"/>
      <c r="Y31" s="2"/>
      <c r="Z31" s="3"/>
      <c r="AA31" s="28">
        <f>[1]KCC2!K8</f>
        <v>18218</v>
      </c>
      <c r="AB31" s="29"/>
      <c r="AC31" s="29"/>
      <c r="AD31" s="29"/>
      <c r="AE31" s="29"/>
      <c r="AF31" s="25"/>
    </row>
    <row r="32" spans="2:32" ht="15.75" x14ac:dyDescent="0.25">
      <c r="C32" s="27">
        <v>3</v>
      </c>
      <c r="D32" s="23" t="s">
        <v>28</v>
      </c>
      <c r="E32" s="2"/>
      <c r="F32" s="2"/>
      <c r="G32" s="24"/>
      <c r="H32" s="24"/>
      <c r="I32" s="24"/>
      <c r="J32" s="3"/>
      <c r="K32" s="25">
        <f>[1]KCC2!L8</f>
        <v>18217</v>
      </c>
      <c r="L32" s="26"/>
      <c r="M32" s="26"/>
      <c r="N32" s="26"/>
      <c r="O32" s="26"/>
      <c r="P32" s="27">
        <v>3</v>
      </c>
      <c r="Q32" s="23" t="s">
        <v>29</v>
      </c>
      <c r="R32" s="2"/>
      <c r="S32" s="2"/>
      <c r="T32" s="2"/>
      <c r="U32" s="2"/>
      <c r="V32" s="2"/>
      <c r="W32" s="2"/>
      <c r="X32" s="2"/>
      <c r="Y32" s="2"/>
      <c r="Z32" s="3"/>
      <c r="AA32" s="28">
        <f>[1]KCC2!R8</f>
        <v>0</v>
      </c>
      <c r="AB32" s="29"/>
      <c r="AC32" s="29"/>
      <c r="AD32" s="29"/>
      <c r="AE32" s="29"/>
      <c r="AF32" s="25"/>
    </row>
    <row r="33" spans="3:32" ht="15.75" x14ac:dyDescent="0.25">
      <c r="C33" s="27">
        <v>4</v>
      </c>
      <c r="D33" s="23" t="s">
        <v>30</v>
      </c>
      <c r="E33" s="2"/>
      <c r="F33" s="2"/>
      <c r="G33" s="24"/>
      <c r="H33" s="24"/>
      <c r="I33" s="24"/>
      <c r="J33" s="3"/>
      <c r="K33" s="25">
        <f>[1]KCC2!M8</f>
        <v>16437</v>
      </c>
      <c r="L33" s="26"/>
      <c r="M33" s="26"/>
      <c r="N33" s="26"/>
      <c r="O33" s="26"/>
      <c r="P33" s="27">
        <v>4</v>
      </c>
      <c r="Q33" s="23" t="s">
        <v>31</v>
      </c>
      <c r="R33" s="2"/>
      <c r="S33" s="2"/>
      <c r="T33" s="2"/>
      <c r="U33" s="2"/>
      <c r="V33" s="2"/>
      <c r="W33" s="2"/>
      <c r="X33" s="2"/>
      <c r="Y33" s="2"/>
      <c r="Z33" s="3"/>
      <c r="AA33" s="28">
        <v>0</v>
      </c>
      <c r="AB33" s="29"/>
      <c r="AC33" s="29"/>
      <c r="AD33" s="29"/>
      <c r="AE33" s="29"/>
      <c r="AF33" s="25"/>
    </row>
    <row r="34" spans="3:32" ht="15.75" x14ac:dyDescent="0.25">
      <c r="C34" s="27">
        <v>5</v>
      </c>
      <c r="D34" s="23" t="s">
        <v>32</v>
      </c>
      <c r="E34" s="2"/>
      <c r="F34" s="2"/>
      <c r="G34" s="24"/>
      <c r="H34" s="24"/>
      <c r="I34" s="24"/>
      <c r="J34" s="3"/>
      <c r="K34" s="25">
        <f>[1]KCC2!N8</f>
        <v>210128</v>
      </c>
      <c r="L34" s="26"/>
      <c r="M34" s="26"/>
      <c r="N34" s="26"/>
      <c r="O34" s="26"/>
      <c r="P34" s="27">
        <v>5</v>
      </c>
      <c r="Q34" s="23" t="s">
        <v>33</v>
      </c>
      <c r="R34" s="2"/>
      <c r="S34" s="2"/>
      <c r="T34" s="2"/>
      <c r="U34" s="2"/>
      <c r="V34" s="2"/>
      <c r="W34" s="2"/>
      <c r="X34" s="2"/>
      <c r="Y34" s="2"/>
      <c r="Z34" s="3"/>
      <c r="AA34" s="28">
        <f>[1]KCC2!U8</f>
        <v>243382</v>
      </c>
      <c r="AB34" s="29"/>
      <c r="AC34" s="29"/>
      <c r="AD34" s="29"/>
      <c r="AE34" s="29"/>
      <c r="AF34" s="25"/>
    </row>
    <row r="35" spans="3:32" ht="15.75" x14ac:dyDescent="0.25">
      <c r="C35" s="27">
        <v>6</v>
      </c>
      <c r="D35" s="7"/>
      <c r="E35" s="30"/>
      <c r="F35" s="31"/>
      <c r="G35" s="31"/>
      <c r="H35" s="31"/>
      <c r="I35" s="31"/>
      <c r="J35" s="10"/>
      <c r="K35" s="25">
        <v>0</v>
      </c>
      <c r="L35" s="26"/>
      <c r="M35" s="26"/>
      <c r="N35" s="26"/>
      <c r="O35" s="26"/>
      <c r="P35" s="27">
        <v>6</v>
      </c>
      <c r="Q35" s="32" t="s">
        <v>34</v>
      </c>
      <c r="R35" s="5"/>
      <c r="S35" s="5"/>
      <c r="T35" s="5"/>
      <c r="U35" s="5"/>
      <c r="V35" s="5"/>
      <c r="W35" s="5"/>
      <c r="X35" s="5"/>
      <c r="Y35" s="5"/>
      <c r="Z35" s="6"/>
      <c r="AA35" s="28">
        <v>0</v>
      </c>
      <c r="AB35" s="29"/>
      <c r="AC35" s="29"/>
      <c r="AD35" s="29"/>
      <c r="AE35" s="29"/>
      <c r="AF35" s="25"/>
    </row>
    <row r="36" spans="3:32" ht="18.75" x14ac:dyDescent="0.3">
      <c r="C36" s="33"/>
      <c r="D36" s="1"/>
      <c r="E36" s="34" t="s">
        <v>35</v>
      </c>
      <c r="F36" s="24"/>
      <c r="G36" s="24"/>
      <c r="H36" s="24"/>
      <c r="I36" s="24"/>
      <c r="J36" s="3"/>
      <c r="K36" s="35">
        <f>SUM(K30:O35)</f>
        <v>263000</v>
      </c>
      <c r="L36" s="36"/>
      <c r="M36" s="36"/>
      <c r="N36" s="36"/>
      <c r="O36" s="37"/>
      <c r="P36" s="1"/>
      <c r="Q36" s="1"/>
      <c r="R36" s="2"/>
      <c r="S36" s="2"/>
      <c r="T36" s="34" t="s">
        <v>35</v>
      </c>
      <c r="U36" s="2"/>
      <c r="V36" s="2"/>
      <c r="W36" s="2"/>
      <c r="X36" s="2"/>
      <c r="Y36" s="2"/>
      <c r="Z36" s="3"/>
      <c r="AA36" s="35">
        <f>SUM(AA30:AF35)</f>
        <v>263000</v>
      </c>
      <c r="AB36" s="38"/>
      <c r="AC36" s="38"/>
      <c r="AD36" s="38"/>
      <c r="AE36" s="38"/>
      <c r="AF36" s="39"/>
    </row>
  </sheetData>
  <mergeCells count="16">
    <mergeCell ref="K35:O35"/>
    <mergeCell ref="AA35:AF35"/>
    <mergeCell ref="K36:O36"/>
    <mergeCell ref="AA36:AF36"/>
    <mergeCell ref="K32:O32"/>
    <mergeCell ref="AA32:AF32"/>
    <mergeCell ref="K33:O33"/>
    <mergeCell ref="AA33:AF33"/>
    <mergeCell ref="K34:O34"/>
    <mergeCell ref="AA34:AF34"/>
    <mergeCell ref="S15:T15"/>
    <mergeCell ref="B16:G16"/>
    <mergeCell ref="K30:O30"/>
    <mergeCell ref="AA30:AF30"/>
    <mergeCell ref="K31:O31"/>
    <mergeCell ref="AA31:A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a49860</dc:creator>
  <cp:lastModifiedBy>a49860</cp:lastModifiedBy>
  <dcterms:created xsi:type="dcterms:W3CDTF">2026-07-17T12:24:37Z</dcterms:created>
  <dcterms:modified xsi:type="dcterms:W3CDTF">2026-07-17T12:25:21Z</dcterms:modified>
</cp:coreProperties>
</file>