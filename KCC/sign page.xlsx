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KCC\"/>
    </mc:Choice>
  </mc:AlternateContent>
  <xr:revisionPtr revIDLastSave="0" documentId="13_ncr:1_{40F0BB84-2CDE-46C9-9FC7-67A6DFE1E61E}" xr6:coauthVersionLast="47" xr6:coauthVersionMax="47" xr10:uidLastSave="{00000000-0000-0000-0000-000000000000}"/>
  <bookViews>
    <workbookView xWindow="-120" yWindow="-120" windowWidth="20730" windowHeight="11040" xr2:uid="{66305805-77CC-4B7C-B1E1-AEEB39336F7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9" i="1" l="1"/>
  <c r="P9" i="1"/>
  <c r="N9" i="1"/>
  <c r="M9" i="1"/>
  <c r="R8" i="1"/>
  <c r="S8" i="1" s="1"/>
  <c r="O8" i="1"/>
  <c r="T8" i="1" s="1"/>
  <c r="N8" i="1"/>
  <c r="M8" i="1"/>
  <c r="L8" i="1"/>
  <c r="K8" i="1"/>
  <c r="J8" i="1"/>
  <c r="I8" i="1"/>
  <c r="H8" i="1"/>
  <c r="G8" i="1"/>
  <c r="F8" i="1"/>
  <c r="E8" i="1"/>
  <c r="D8" i="1"/>
  <c r="C8" i="1"/>
  <c r="R7" i="1"/>
  <c r="S7" i="1" s="1"/>
  <c r="O7" i="1"/>
  <c r="T7" i="1" s="1"/>
  <c r="N7" i="1"/>
  <c r="M7" i="1"/>
  <c r="L7" i="1"/>
  <c r="K7" i="1"/>
  <c r="J7" i="1"/>
  <c r="I7" i="1"/>
  <c r="H7" i="1"/>
  <c r="G7" i="1"/>
  <c r="F7" i="1"/>
  <c r="E7" i="1"/>
  <c r="D7" i="1"/>
  <c r="C7" i="1"/>
  <c r="R6" i="1"/>
  <c r="S6" i="1" s="1"/>
  <c r="O6" i="1"/>
  <c r="O9" i="1" s="1"/>
  <c r="N6" i="1"/>
  <c r="M6" i="1"/>
  <c r="L6" i="1"/>
  <c r="L9" i="1" s="1"/>
  <c r="K6" i="1"/>
  <c r="K9" i="1" s="1"/>
  <c r="J6" i="1"/>
  <c r="J9" i="1" s="1"/>
  <c r="I6" i="1"/>
  <c r="H6" i="1"/>
  <c r="H9" i="1" s="1"/>
  <c r="G6" i="1"/>
  <c r="F6" i="1"/>
  <c r="E6" i="1"/>
  <c r="D6" i="1"/>
  <c r="C6" i="1"/>
  <c r="N3" i="1"/>
  <c r="S9" i="1" l="1"/>
  <c r="T6" i="1"/>
  <c r="T9" i="1" s="1"/>
  <c r="R9" i="1"/>
</calcChain>
</file>

<file path=xl/sharedStrings.xml><?xml version="1.0" encoding="utf-8"?>
<sst xmlns="http://schemas.openxmlformats.org/spreadsheetml/2006/main" count="29" uniqueCount="29">
  <si>
    <r>
      <t>T.U</t>
    </r>
    <r>
      <rPr>
        <b/>
        <sz val="18"/>
        <color theme="1"/>
        <rFont val="Bamini"/>
        <family val="2"/>
      </rPr>
      <t>.3 Njthuk; njhlf;f Ntshz;ik $l;LwT fld; rq;fk;  Njthuk;</t>
    </r>
    <r>
      <rPr>
        <b/>
        <sz val="18"/>
        <color theme="1"/>
        <rFont val="Aptos Narrow"/>
        <family val="2"/>
        <scheme val="minor"/>
      </rPr>
      <t xml:space="preserve">
</t>
    </r>
  </si>
  <si>
    <t>jPHkhd vz;</t>
  </si>
  <si>
    <t>jPHkhd Njjp</t>
  </si>
  <si>
    <r>
      <rPr>
        <b/>
        <sz val="14"/>
        <color theme="1"/>
        <rFont val="Bamini"/>
        <family val="2"/>
      </rPr>
      <t>kj;jpa tq;fp</t>
    </r>
    <r>
      <rPr>
        <b/>
        <sz val="14"/>
        <color theme="1"/>
        <rFont val="Aptos Narrow"/>
        <family val="2"/>
        <scheme val="minor"/>
      </rPr>
      <t xml:space="preserve"> RCL No: 107/25-26/P1  Dt:15.04.2026 </t>
    </r>
  </si>
  <si>
    <t>gl;Lthlh  egh;fs;:</t>
  </si>
  <si>
    <t>gl;Lthlh Njjp :</t>
  </si>
  <si>
    <t xml:space="preserve"> </t>
  </si>
  <si>
    <t>t.vz;</t>
  </si>
  <si>
    <t>m.vz;</t>
  </si>
  <si>
    <t>SB</t>
  </si>
  <si>
    <t>ERP</t>
  </si>
  <si>
    <t>ngah;</t>
  </si>
  <si>
    <t>rh;Nt 
vz;</t>
  </si>
  <si>
    <t>gug;G</t>
  </si>
  <si>
    <t>gaph;</t>
  </si>
  <si>
    <t>tpij
gFjp</t>
  </si>
  <si>
    <t xml:space="preserve">,urhad cuk; </t>
  </si>
  <si>
    <t>njhO cuk;</t>
  </si>
  <si>
    <t>G+r;rp kUe;J</t>
  </si>
  <si>
    <t>nuhf;fk;</t>
  </si>
  <si>
    <t>nkhj;jk;</t>
  </si>
  <si>
    <t>Gj;jf
ghuk;</t>
  </si>
  <si>
    <t>fhg;gPL</t>
  </si>
  <si>
    <t>gq;F njhif</t>
  </si>
  <si>
    <t>nkhj;jgpbj;jk;</t>
  </si>
  <si>
    <t>epfu gl;Lthlh</t>
  </si>
  <si>
    <t>ifnahg;gk;</t>
  </si>
  <si>
    <t>nrayhsH</t>
  </si>
  <si>
    <t>nrayhl;rpaH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</si>
</sst>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Bamini"/>
      <family val="2"/>
    </font>
    <font>
      <b/>
      <sz val="14"/>
      <color theme="1"/>
      <name val="Bamini"/>
    </font>
    <font>
      <b/>
      <sz val="14"/>
      <color theme="1"/>
      <name val="Aptos Narrow"/>
      <family val="2"/>
      <scheme val="minor"/>
    </font>
    <font>
      <b/>
      <sz val="14"/>
      <color theme="1"/>
      <name val="Bamini"/>
      <family val="2"/>
    </font>
    <font>
      <sz val="12"/>
      <color theme="1"/>
      <name val="Bamini"/>
      <family val="2"/>
    </font>
    <font>
      <b/>
      <sz val="13"/>
      <color theme="1"/>
      <name val="Bamini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Bamini"/>
      <family val="2"/>
    </font>
    <font>
      <sz val="13"/>
      <color theme="1"/>
      <name val="Times New Roman"/>
      <family val="1"/>
    </font>
    <font>
      <sz val="13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theme="1"/>
      <name val="Bamini"/>
      <family val="2"/>
    </font>
    <font>
      <sz val="12"/>
      <color theme="1"/>
      <name val="Times New Roman"/>
      <family val="1"/>
    </font>
    <font>
      <sz val="12"/>
      <color theme="1"/>
      <name val="Bamin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4" fillId="0" borderId="4" xfId="0" applyFont="1" applyBorder="1"/>
    <xf numFmtId="0" fontId="0" fillId="0" borderId="2" xfId="0" applyBorder="1"/>
    <xf numFmtId="0" fontId="5" fillId="0" borderId="4" xfId="0" applyFont="1" applyBorder="1"/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d%202.xlsx" TargetMode="External"/><Relationship Id="rId2" Type="http://schemas.openxmlformats.org/officeDocument/2006/relationships/externalLinkPath" Target="file:///C:\Users\ELCOT\Desktop\Pad%202.xlsx" TargetMode="External"/><Relationship Id="rId1" Type="http://schemas.openxmlformats.org/officeDocument/2006/relationships/externalLinkPath" Target="/Users/ELCOT/Desktop/Pa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CC1"/>
      <sheetName val="KCC2"/>
      <sheetName val="Corp"/>
      <sheetName val="INS"/>
      <sheetName val="Front"/>
      <sheetName val="Note order"/>
      <sheetName val="Jabitha"/>
      <sheetName val="Sign"/>
    </sheetNames>
    <sheetDataSet>
      <sheetData sheetId="0">
        <row r="3">
          <cell r="K3" t="str">
            <v>KCC1y; jw;NghJ gl;Lthlh NfhUk; njhif</v>
          </cell>
          <cell r="R3">
            <v>263000</v>
          </cell>
        </row>
        <row r="4">
          <cell r="C4" t="str">
            <v>m.vz;</v>
          </cell>
          <cell r="D4" t="str">
            <v>SB</v>
          </cell>
          <cell r="E4" t="str">
            <v>ERP</v>
          </cell>
          <cell r="F4" t="str">
            <v>ngaH</v>
          </cell>
          <cell r="K4" t="str">
            <v>rHNt vz;</v>
          </cell>
          <cell r="L4" t="str">
            <v>gug;GV.nr</v>
          </cell>
          <cell r="M4" t="str">
            <v>gapH</v>
          </cell>
          <cell r="N4" t="str">
            <v>tpijgFjp</v>
          </cell>
          <cell r="O4" t="str">
            <v>,urhad cuk; 50%</v>
          </cell>
          <cell r="P4" t="str">
            <v>njhOcuk; 50%</v>
          </cell>
          <cell r="Q4" t="str">
            <v>G+r;rp kUe;J</v>
          </cell>
          <cell r="R4" t="str">
            <v xml:space="preserve">nuhf;fk; </v>
          </cell>
          <cell r="S4" t="str">
            <v>nkhj;jk;</v>
          </cell>
        </row>
        <row r="5">
          <cell r="C5">
            <v>5178</v>
          </cell>
          <cell r="D5">
            <v>842</v>
          </cell>
          <cell r="E5">
            <v>102596</v>
          </cell>
          <cell r="F5" t="str">
            <v>P</v>
          </cell>
          <cell r="G5" t="str">
            <v>Kj;Jtp[ad;</v>
          </cell>
          <cell r="K5" t="str">
            <v>34/4</v>
          </cell>
          <cell r="L5">
            <v>0.85</v>
          </cell>
          <cell r="M5" t="str">
            <v>Vyk;</v>
          </cell>
          <cell r="N5">
            <v>0</v>
          </cell>
          <cell r="O5">
            <v>4505</v>
          </cell>
          <cell r="P5">
            <v>4505</v>
          </cell>
          <cell r="Q5">
            <v>3867</v>
          </cell>
          <cell r="R5">
            <v>45123</v>
          </cell>
          <cell r="S5">
            <v>58000</v>
          </cell>
        </row>
        <row r="6">
          <cell r="C6">
            <v>5595</v>
          </cell>
          <cell r="D6">
            <v>1264</v>
          </cell>
          <cell r="E6">
            <v>103013</v>
          </cell>
          <cell r="F6" t="str">
            <v>K</v>
          </cell>
          <cell r="G6" t="str">
            <v>Njtpfh uhzp</v>
          </cell>
          <cell r="K6" t="str">
            <v>20/2--2</v>
          </cell>
          <cell r="L6">
            <v>2</v>
          </cell>
          <cell r="M6" t="str">
            <v>Vyk;</v>
          </cell>
          <cell r="N6">
            <v>0</v>
          </cell>
          <cell r="O6">
            <v>8480</v>
          </cell>
          <cell r="P6">
            <v>8480</v>
          </cell>
          <cell r="Q6">
            <v>7280</v>
          </cell>
          <cell r="R6">
            <v>84760</v>
          </cell>
          <cell r="S6">
            <v>109000</v>
          </cell>
        </row>
        <row r="7">
          <cell r="C7">
            <v>5634</v>
          </cell>
          <cell r="D7">
            <v>1338</v>
          </cell>
          <cell r="E7">
            <v>103055</v>
          </cell>
          <cell r="F7" t="str">
            <v>M</v>
          </cell>
          <cell r="G7" t="str">
            <v>KUNf];thp</v>
          </cell>
          <cell r="K7" t="str">
            <v>781/2B</v>
          </cell>
          <cell r="L7">
            <v>2.2999999999999998</v>
          </cell>
          <cell r="M7" t="str">
            <v>njd;id</v>
          </cell>
          <cell r="N7">
            <v>0</v>
          </cell>
          <cell r="O7">
            <v>5233</v>
          </cell>
          <cell r="P7">
            <v>5232</v>
          </cell>
          <cell r="Q7">
            <v>5290</v>
          </cell>
          <cell r="R7">
            <v>80245</v>
          </cell>
          <cell r="S7">
            <v>96000</v>
          </cell>
        </row>
        <row r="8">
          <cell r="K8" t="str">
            <v xml:space="preserve"> </v>
          </cell>
          <cell r="L8">
            <v>5.15</v>
          </cell>
          <cell r="N8">
            <v>0</v>
          </cell>
          <cell r="O8">
            <v>18218</v>
          </cell>
          <cell r="P8">
            <v>18217</v>
          </cell>
          <cell r="Q8">
            <v>16437</v>
          </cell>
          <cell r="R8">
            <v>210128</v>
          </cell>
          <cell r="S8">
            <v>263000</v>
          </cell>
        </row>
      </sheetData>
      <sheetData sheetId="1">
        <row r="4">
          <cell r="S4" t="str">
            <v>gq;Fnjhif</v>
          </cell>
        </row>
        <row r="5">
          <cell r="S5">
            <v>0</v>
          </cell>
        </row>
        <row r="6">
          <cell r="S6">
            <v>500</v>
          </cell>
        </row>
        <row r="7">
          <cell r="S7">
            <v>0</v>
          </cell>
        </row>
        <row r="8">
          <cell r="S8">
            <v>500</v>
          </cell>
        </row>
      </sheetData>
      <sheetData sheetId="2"/>
      <sheetData sheetId="3">
        <row r="11">
          <cell r="C11">
            <v>5178</v>
          </cell>
        </row>
        <row r="12">
          <cell r="C12">
            <v>5595</v>
          </cell>
        </row>
        <row r="13">
          <cell r="C13">
            <v>5634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6236-FAB9-4893-A7D0-B78045E5E77A}">
  <dimension ref="A1:U16"/>
  <sheetViews>
    <sheetView tabSelected="1" workbookViewId="0">
      <selection sqref="A1:XFD1048576"/>
    </sheetView>
  </sheetViews>
  <sheetFormatPr defaultRowHeight="15" x14ac:dyDescent="0.25"/>
  <cols>
    <col min="1" max="1" width="3.7109375" style="24" bestFit="1" customWidth="1"/>
    <col min="2" max="2" width="5.5703125" bestFit="1" customWidth="1"/>
    <col min="3" max="3" width="5" bestFit="1" customWidth="1"/>
    <col min="4" max="4" width="8" customWidth="1"/>
    <col min="5" max="5" width="2.85546875" bestFit="1" customWidth="1"/>
    <col min="6" max="6" width="13.42578125" customWidth="1"/>
    <col min="7" max="7" width="8.5703125" bestFit="1" customWidth="1"/>
    <col min="8" max="8" width="6.42578125" bestFit="1" customWidth="1"/>
    <col min="9" max="9" width="8.85546875" bestFit="1" customWidth="1"/>
    <col min="10" max="10" width="7.28515625" bestFit="1" customWidth="1"/>
    <col min="11" max="11" width="10.5703125" bestFit="1" customWidth="1"/>
    <col min="12" max="12" width="8" bestFit="1" customWidth="1"/>
    <col min="13" max="13" width="8.28515625" customWidth="1"/>
    <col min="14" max="14" width="9" bestFit="1" customWidth="1"/>
    <col min="15" max="15" width="10.5703125" customWidth="1"/>
    <col min="16" max="16" width="7.5703125" customWidth="1"/>
    <col min="17" max="17" width="6.7109375" bestFit="1" customWidth="1"/>
    <col min="18" max="18" width="7.85546875" bestFit="1" customWidth="1"/>
    <col min="19" max="19" width="11" bestFit="1" customWidth="1"/>
    <col min="20" max="20" width="11.5703125" bestFit="1" customWidth="1"/>
    <col min="21" max="21" width="20.7109375" customWidth="1"/>
  </cols>
  <sheetData>
    <row r="1" spans="1:21" ht="2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24" x14ac:dyDescent="0.25">
      <c r="A2" s="4"/>
      <c r="B2" s="5"/>
      <c r="C2" s="5"/>
      <c r="D2" s="5"/>
      <c r="E2" s="5"/>
      <c r="F2" s="6" t="s">
        <v>1</v>
      </c>
      <c r="G2" s="7"/>
      <c r="H2" s="8">
        <v>1</v>
      </c>
      <c r="I2" s="5"/>
      <c r="J2" s="5"/>
      <c r="K2" s="5"/>
      <c r="L2" s="5"/>
      <c r="M2" s="5"/>
      <c r="N2" s="5"/>
      <c r="O2" s="9" t="s">
        <v>2</v>
      </c>
      <c r="P2" s="9"/>
      <c r="Q2" s="10">
        <v>46169</v>
      </c>
      <c r="R2" s="11"/>
      <c r="S2" s="12"/>
      <c r="T2" s="5"/>
      <c r="U2" s="13"/>
    </row>
    <row r="3" spans="1:21" ht="18.75" x14ac:dyDescent="0.3">
      <c r="A3" s="14" t="s">
        <v>3</v>
      </c>
      <c r="B3" s="15"/>
      <c r="C3" s="14"/>
      <c r="D3" s="14"/>
      <c r="E3" s="14"/>
      <c r="F3" s="14"/>
      <c r="G3" s="14"/>
      <c r="H3" s="14"/>
      <c r="I3" s="14"/>
      <c r="J3" s="14"/>
      <c r="K3" s="16" t="s">
        <v>4</v>
      </c>
      <c r="L3" s="14"/>
      <c r="M3" s="14"/>
      <c r="N3" s="17">
        <f>COUNT([1]INS!C11:C13)</f>
        <v>3</v>
      </c>
      <c r="O3" s="18"/>
      <c r="P3" s="18"/>
      <c r="Q3" s="19" t="s">
        <v>5</v>
      </c>
      <c r="R3" s="20"/>
      <c r="S3" s="21"/>
      <c r="T3" s="22">
        <v>46174</v>
      </c>
      <c r="U3" s="23"/>
    </row>
    <row r="4" spans="1:21" ht="15.75" x14ac:dyDescent="0.25">
      <c r="G4" s="25" t="s">
        <v>6</v>
      </c>
      <c r="H4" s="25"/>
      <c r="I4" s="25"/>
      <c r="J4" s="25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 spans="1:21" ht="49.5" x14ac:dyDescent="0.25">
      <c r="A5" s="27" t="s">
        <v>7</v>
      </c>
      <c r="B5" s="28" t="s">
        <v>8</v>
      </c>
      <c r="C5" s="29" t="s">
        <v>9</v>
      </c>
      <c r="D5" s="29" t="s">
        <v>10</v>
      </c>
      <c r="E5" s="30"/>
      <c r="F5" s="31" t="s">
        <v>11</v>
      </c>
      <c r="G5" s="31" t="s">
        <v>12</v>
      </c>
      <c r="H5" s="27" t="s">
        <v>13</v>
      </c>
      <c r="I5" s="27" t="s">
        <v>14</v>
      </c>
      <c r="J5" s="27" t="s">
        <v>15</v>
      </c>
      <c r="K5" s="27" t="s">
        <v>16</v>
      </c>
      <c r="L5" s="27" t="s">
        <v>17</v>
      </c>
      <c r="M5" s="28" t="s">
        <v>18</v>
      </c>
      <c r="N5" s="28" t="s">
        <v>19</v>
      </c>
      <c r="O5" s="28" t="s">
        <v>20</v>
      </c>
      <c r="P5" s="28" t="s">
        <v>21</v>
      </c>
      <c r="Q5" s="28" t="s">
        <v>22</v>
      </c>
      <c r="R5" s="28" t="s">
        <v>23</v>
      </c>
      <c r="S5" s="28" t="s">
        <v>24</v>
      </c>
      <c r="T5" s="28" t="s">
        <v>25</v>
      </c>
      <c r="U5" s="32" t="s">
        <v>26</v>
      </c>
    </row>
    <row r="6" spans="1:21" ht="16.5" x14ac:dyDescent="0.25">
      <c r="A6" s="33">
        <v>1</v>
      </c>
      <c r="B6" s="34">
        <v>5178</v>
      </c>
      <c r="C6" s="33">
        <f>IFERROR(INDEX([1]KCC1!D:D, MATCH(B6, [1]KCC1!$C:$C, 0)), "Not")</f>
        <v>842</v>
      </c>
      <c r="D6" s="33">
        <f>IFERROR(INDEX([1]KCC1!E:E, MATCH(B6, [1]KCC1!$C:$C, 0)), "Not")</f>
        <v>102596</v>
      </c>
      <c r="E6" s="33" t="str">
        <f>IFERROR(INDEX([1]KCC1!F:F, MATCH(B6, [1]KCC1!$C:$C, 0)), "Not")</f>
        <v>P</v>
      </c>
      <c r="F6" s="35" t="str">
        <f>IFERROR(INDEX([1]KCC1!G:G, MATCH(B6, [1]KCC1!$C:$C, 0)), "Not")</f>
        <v>Kj;Jtp[ad;</v>
      </c>
      <c r="G6" s="33" t="str">
        <f>IFERROR(INDEX([1]KCC1!K:K, MATCH(B6, [1]KCC1!$C:$C, 0)), "Not")</f>
        <v>34/4</v>
      </c>
      <c r="H6" s="36">
        <f>IFERROR(INDEX([1]KCC1!L:L, MATCH(B6, [1]KCC1!$C:$C, 0)), "Not")</f>
        <v>0.85</v>
      </c>
      <c r="I6" s="37" t="str">
        <f>IFERROR(INDEX([1]KCC1!M:M, MATCH(B6, [1]KCC1!$C:$C, 0)), "Not")</f>
        <v>Vyk;</v>
      </c>
      <c r="J6" s="36">
        <f>IFERROR(INDEX([1]KCC1!N:N, MATCH(B6, [1]KCC1!$C:$C, 0)), "Not")</f>
        <v>0</v>
      </c>
      <c r="K6" s="36">
        <f>IFERROR(INDEX([1]KCC1!O:O, MATCH(B6, [1]KCC1!$C:$C, 0)), "Not")</f>
        <v>4505</v>
      </c>
      <c r="L6" s="36">
        <f>IFERROR(INDEX([1]KCC1!P:P, MATCH(B6, [1]KCC1!$C:$C, 0)), "Not")</f>
        <v>4505</v>
      </c>
      <c r="M6" s="36">
        <f>IFERROR(INDEX([1]KCC1!Q:Q, MATCH(B6, [1]KCC1!$C:$C, 0)), "Not")</f>
        <v>3867</v>
      </c>
      <c r="N6" s="36">
        <f>IFERROR(INDEX([1]KCC1!R:R, MATCH(B6, [1]KCC1!$C:$C, 0)), "Not")</f>
        <v>45123</v>
      </c>
      <c r="O6" s="36">
        <f>IFERROR(INDEX([1]KCC1!S:S, MATCH(B6, [1]KCC1!$C:$C, 0)), "Not")</f>
        <v>58000</v>
      </c>
      <c r="P6" s="36">
        <v>300</v>
      </c>
      <c r="Q6" s="38">
        <v>0</v>
      </c>
      <c r="R6" s="38">
        <f>IFERROR(INDEX([1]KCC2!S:S, MATCH(B6, [1]KCC1!$C:$C, 0)), "Not")</f>
        <v>0</v>
      </c>
      <c r="S6" s="38">
        <f t="shared" ref="S6:S8" si="0">K6+P6+Q6+R6</f>
        <v>4805</v>
      </c>
      <c r="T6" s="38">
        <f t="shared" ref="T6:T8" si="1">O6-S6</f>
        <v>53195</v>
      </c>
      <c r="U6" s="39"/>
    </row>
    <row r="7" spans="1:21" ht="16.5" x14ac:dyDescent="0.25">
      <c r="A7" s="33">
        <v>2</v>
      </c>
      <c r="B7" s="34">
        <v>5595</v>
      </c>
      <c r="C7" s="33">
        <f>IFERROR(INDEX([1]KCC1!D:D, MATCH(B7, [1]KCC1!$C:$C, 0)), "Not")</f>
        <v>1264</v>
      </c>
      <c r="D7" s="33">
        <f>IFERROR(INDEX([1]KCC1!E:E, MATCH(B7, [1]KCC1!$C:$C, 0)), "Not")</f>
        <v>103013</v>
      </c>
      <c r="E7" s="33" t="str">
        <f>IFERROR(INDEX([1]KCC1!F:F, MATCH(B7, [1]KCC1!$C:$C, 0)), "Not")</f>
        <v>K</v>
      </c>
      <c r="F7" s="35" t="str">
        <f>IFERROR(INDEX([1]KCC1!G:G, MATCH(B7, [1]KCC1!$C:$C, 0)), "Not")</f>
        <v>Njtpfh uhzp</v>
      </c>
      <c r="G7" s="33" t="str">
        <f>IFERROR(INDEX([1]KCC1!K:K, MATCH(B7, [1]KCC1!$C:$C, 0)), "Not")</f>
        <v>20/2--2</v>
      </c>
      <c r="H7" s="36">
        <f>IFERROR(INDEX([1]KCC1!L:L, MATCH(B7, [1]KCC1!$C:$C, 0)), "Not")</f>
        <v>2</v>
      </c>
      <c r="I7" s="37" t="str">
        <f>IFERROR(INDEX([1]KCC1!M:M, MATCH(B7, [1]KCC1!$C:$C, 0)), "Not")</f>
        <v>Vyk;</v>
      </c>
      <c r="J7" s="36">
        <f>IFERROR(INDEX([1]KCC1!N:N, MATCH(B7, [1]KCC1!$C:$C, 0)), "Not")</f>
        <v>0</v>
      </c>
      <c r="K7" s="36">
        <f>IFERROR(INDEX([1]KCC1!O:O, MATCH(B7, [1]KCC1!$C:$C, 0)), "Not")</f>
        <v>8480</v>
      </c>
      <c r="L7" s="36">
        <f>IFERROR(INDEX([1]KCC1!P:P, MATCH(B7, [1]KCC1!$C:$C, 0)), "Not")</f>
        <v>8480</v>
      </c>
      <c r="M7" s="36">
        <f>IFERROR(INDEX([1]KCC1!Q:Q, MATCH(B7, [1]KCC1!$C:$C, 0)), "Not")</f>
        <v>7280</v>
      </c>
      <c r="N7" s="36">
        <f>IFERROR(INDEX([1]KCC1!R:R, MATCH(B7, [1]KCC1!$C:$C, 0)), "Not")</f>
        <v>84760</v>
      </c>
      <c r="O7" s="36">
        <f>IFERROR(INDEX([1]KCC1!S:S, MATCH(B7, [1]KCC1!$C:$C, 0)), "Not")</f>
        <v>109000</v>
      </c>
      <c r="P7" s="36">
        <v>300</v>
      </c>
      <c r="Q7" s="38">
        <v>0</v>
      </c>
      <c r="R7" s="38">
        <f>IFERROR(INDEX([1]KCC2!S:S, MATCH(B7, [1]KCC1!$C:$C, 0)), "Not")</f>
        <v>500</v>
      </c>
      <c r="S7" s="38">
        <f t="shared" si="0"/>
        <v>9280</v>
      </c>
      <c r="T7" s="38">
        <f t="shared" si="1"/>
        <v>99720</v>
      </c>
      <c r="U7" s="39"/>
    </row>
    <row r="8" spans="1:21" ht="16.5" x14ac:dyDescent="0.25">
      <c r="A8" s="33">
        <v>3</v>
      </c>
      <c r="B8" s="40">
        <v>5634</v>
      </c>
      <c r="C8" s="33">
        <f>IFERROR(INDEX([1]KCC1!D:D, MATCH(B8, [1]KCC1!$C:$C, 0)), "Not")</f>
        <v>1338</v>
      </c>
      <c r="D8" s="33">
        <f>IFERROR(INDEX([1]KCC1!E:E, MATCH(B8, [1]KCC1!$C:$C, 0)), "Not")</f>
        <v>103055</v>
      </c>
      <c r="E8" s="33" t="str">
        <f>IFERROR(INDEX([1]KCC1!F:F, MATCH(B8, [1]KCC1!$C:$C, 0)), "Not")</f>
        <v>M</v>
      </c>
      <c r="F8" s="35" t="str">
        <f>IFERROR(INDEX([1]KCC1!G:G, MATCH(B8, [1]KCC1!$C:$C, 0)), "Not")</f>
        <v>KUNf];thp</v>
      </c>
      <c r="G8" s="33" t="str">
        <f>IFERROR(INDEX([1]KCC1!K:K, MATCH(B8, [1]KCC1!$C:$C, 0)), "Not")</f>
        <v>781/2B</v>
      </c>
      <c r="H8" s="36">
        <f>IFERROR(INDEX([1]KCC1!L:L, MATCH(B8, [1]KCC1!$C:$C, 0)), "Not")</f>
        <v>2.2999999999999998</v>
      </c>
      <c r="I8" s="37" t="str">
        <f>IFERROR(INDEX([1]KCC1!M:M, MATCH(B8, [1]KCC1!$C:$C, 0)), "Not")</f>
        <v>njd;id</v>
      </c>
      <c r="J8" s="36">
        <f>IFERROR(INDEX([1]KCC1!N:N, MATCH(B8, [1]KCC1!$C:$C, 0)), "Not")</f>
        <v>0</v>
      </c>
      <c r="K8" s="36">
        <f>IFERROR(INDEX([1]KCC1!O:O, MATCH(B8, [1]KCC1!$C:$C, 0)), "Not")</f>
        <v>5233</v>
      </c>
      <c r="L8" s="36">
        <f>IFERROR(INDEX([1]KCC1!P:P, MATCH(B8, [1]KCC1!$C:$C, 0)), "Not")</f>
        <v>5232</v>
      </c>
      <c r="M8" s="36">
        <f>IFERROR(INDEX([1]KCC1!Q:Q, MATCH(B8, [1]KCC1!$C:$C, 0)), "Not")</f>
        <v>5290</v>
      </c>
      <c r="N8" s="36">
        <f>IFERROR(INDEX([1]KCC1!R:R, MATCH(B8, [1]KCC1!$C:$C, 0)), "Not")</f>
        <v>80245</v>
      </c>
      <c r="O8" s="36">
        <f>IFERROR(INDEX([1]KCC1!S:S, MATCH(B8, [1]KCC1!$C:$C, 0)), "Not")</f>
        <v>96000</v>
      </c>
      <c r="P8" s="36">
        <v>300</v>
      </c>
      <c r="Q8" s="38">
        <v>0</v>
      </c>
      <c r="R8" s="38">
        <f>IFERROR(INDEX([1]KCC2!S:S, MATCH(B8, [1]KCC1!$C:$C, 0)), "Not")</f>
        <v>0</v>
      </c>
      <c r="S8" s="38">
        <f t="shared" si="0"/>
        <v>5533</v>
      </c>
      <c r="T8" s="38">
        <f t="shared" si="1"/>
        <v>90467</v>
      </c>
      <c r="U8" s="39"/>
    </row>
    <row r="9" spans="1:21" ht="15.75" x14ac:dyDescent="0.25">
      <c r="B9" s="41"/>
      <c r="H9" s="42">
        <f>SUM(H6:H8)</f>
        <v>5.15</v>
      </c>
      <c r="I9" s="43"/>
      <c r="J9" s="42">
        <f t="shared" ref="J9:T9" si="2">SUM(J6:J8)</f>
        <v>0</v>
      </c>
      <c r="K9" s="42">
        <f t="shared" si="2"/>
        <v>18218</v>
      </c>
      <c r="L9" s="42">
        <f t="shared" si="2"/>
        <v>18217</v>
      </c>
      <c r="M9" s="42">
        <f t="shared" si="2"/>
        <v>16437</v>
      </c>
      <c r="N9" s="42">
        <f t="shared" si="2"/>
        <v>210128</v>
      </c>
      <c r="O9" s="42">
        <f t="shared" si="2"/>
        <v>263000</v>
      </c>
      <c r="P9" s="42">
        <f t="shared" si="2"/>
        <v>900</v>
      </c>
      <c r="Q9" s="42">
        <f t="shared" si="2"/>
        <v>0</v>
      </c>
      <c r="R9" s="42">
        <f t="shared" si="2"/>
        <v>500</v>
      </c>
      <c r="S9" s="42">
        <f t="shared" si="2"/>
        <v>19618</v>
      </c>
      <c r="T9" s="42">
        <f t="shared" si="2"/>
        <v>243382</v>
      </c>
      <c r="U9" s="44"/>
    </row>
    <row r="10" spans="1:21" ht="15.75" customHeight="1" x14ac:dyDescent="0.25">
      <c r="J10" s="45"/>
      <c r="U10" s="24"/>
    </row>
    <row r="11" spans="1:21" x14ac:dyDescent="0.25">
      <c r="U11" s="24"/>
    </row>
    <row r="12" spans="1:21" x14ac:dyDescent="0.25">
      <c r="U12" s="24"/>
    </row>
    <row r="13" spans="1:21" x14ac:dyDescent="0.25">
      <c r="U13" s="24"/>
    </row>
    <row r="16" spans="1:21" ht="15.75" x14ac:dyDescent="0.25">
      <c r="F16" s="46" t="s">
        <v>27</v>
      </c>
      <c r="O16" s="46" t="s">
        <v>28</v>
      </c>
    </row>
  </sheetData>
  <mergeCells count="8">
    <mergeCell ref="G4:U4"/>
    <mergeCell ref="A1:U1"/>
    <mergeCell ref="F2:G2"/>
    <mergeCell ref="O2:P2"/>
    <mergeCell ref="Q2:S2"/>
    <mergeCell ref="O3:P3"/>
    <mergeCell ref="Q3:S3"/>
    <mergeCell ref="T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a49860</dc:creator>
  <cp:lastModifiedBy>a49860</cp:lastModifiedBy>
  <dcterms:created xsi:type="dcterms:W3CDTF">2026-07-17T12:26:26Z</dcterms:created>
  <dcterms:modified xsi:type="dcterms:W3CDTF">2026-07-17T12:28:37Z</dcterms:modified>
</cp:coreProperties>
</file>